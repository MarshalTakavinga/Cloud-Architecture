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OneTime" sheetId="2" state="visible" r:id="rId2"/>
    <sheet xmlns:r="http://schemas.openxmlformats.org/officeDocument/2006/relationships" name="FiveYearTCO" sheetId="3" state="visible" r:id="rId3"/>
    <sheet xmlns:r="http://schemas.openxmlformats.org/officeDocument/2006/relationships" name="Threshold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;(#,##0.##);&quot;-&quot;"/>
    <numFmt numFmtId="165" formatCode="0.0%;(0.0%);&quot;-&quot;"/>
    <numFmt numFmtId="166" formatCode="$#,##0;($#,##0);&quot;-&quot;"/>
    <numFmt numFmtId="167" formatCode="#,##0.00;(#,##0.00);&quot;-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sz val="11"/>
    </font>
    <font>
      <name val="Arial"/>
      <b val="1"/>
      <color rgb="00FFFFFF"/>
    </font>
    <font>
      <name val="Arial"/>
      <color rgb="00000000"/>
    </font>
    <font>
      <name val="Arial"/>
      <color rgb="000000FF"/>
    </font>
    <font>
      <name val="Arial"/>
      <b val="1"/>
      <color rgb="00000000"/>
    </font>
    <font>
      <name val="Arial"/>
      <color rgb="0000800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6" fillId="0" borderId="1" pivotButton="0" quotePrefix="0" xfId="0"/>
    <xf numFmtId="0" fontId="2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166" fontId="6" fillId="3" borderId="1" pivotButton="0" quotePrefix="0" xfId="0"/>
    <xf numFmtId="165" fontId="6" fillId="3" borderId="1" pivotButton="0" quotePrefix="0" xfId="0"/>
    <xf numFmtId="167" fontId="6" fillId="3" borderId="1" pivotButton="0" quotePrefix="0" xfId="0"/>
    <xf numFmtId="167" fontId="6" fillId="0" borderId="1" pivotButton="0" quotePrefix="0" xfId="0"/>
    <xf numFmtId="164" fontId="6" fillId="3" borderId="1" pivotButton="0" quotePrefix="0" xfId="0"/>
    <xf numFmtId="0" fontId="6" fillId="0" borderId="1" pivotButton="0" quotePrefix="0" xfId="0"/>
    <xf numFmtId="166" fontId="5" fillId="0" borderId="1" pivotButton="0" quotePrefix="0" xfId="0"/>
    <xf numFmtId="165" fontId="5" fillId="0" borderId="1" pivotButton="0" quotePrefix="0" xfId="0"/>
    <xf numFmtId="0" fontId="7" fillId="4" borderId="1" pivotButton="0" quotePrefix="0" xfId="0"/>
    <xf numFmtId="166" fontId="7" fillId="4" borderId="1" pivotButton="0" quotePrefix="0" xfId="0"/>
    <xf numFmtId="0" fontId="7" fillId="5" borderId="1" pivotButton="0" quotePrefix="0" xfId="0"/>
    <xf numFmtId="166" fontId="8" fillId="0" borderId="1" pivotButton="0" quotePrefix="0" xfId="0"/>
    <xf numFmtId="0" fontId="7" fillId="0" borderId="1" pivotButton="0" quotePrefix="0" xfId="0"/>
    <xf numFmtId="166" fontId="7" fillId="0" borderId="1" pivotButton="0" quotePrefix="0" xfId="0"/>
    <xf numFmtId="167" fontId="5" fillId="0" borderId="1" pivotButton="0" quotePrefix="0" xfId="0"/>
    <xf numFmtId="166" fontId="7" fillId="3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cost by path (illustrative)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'FiveYearTCO'!A15</f>
            </strRef>
          </tx>
          <spPr>
            <a:ln xmlns:a="http://schemas.openxmlformats.org/drawingml/2006/main">
              <a:prstDash val="solid"/>
            </a:ln>
          </spPr>
          <cat>
            <numRef>
              <f>'FiveYearTCO'!$B$4:$F$4</f>
            </numRef>
          </cat>
          <val>
            <numRef>
              <f>'FiveYearTCO'!$B$15:$F$15</f>
            </numRef>
          </val>
        </ser>
        <ser>
          <idx val="1"/>
          <order val="1"/>
          <tx>
            <strRef>
              <f>'FiveYearTCO'!A34</f>
            </strRef>
          </tx>
          <spPr>
            <a:ln xmlns:a="http://schemas.openxmlformats.org/drawingml/2006/main">
              <a:prstDash val="solid"/>
            </a:ln>
          </spPr>
          <cat>
            <numRef>
              <f>'FiveYearTCO'!$B$4:$F$4</f>
            </numRef>
          </cat>
          <val>
            <numRef>
              <f>'FiveYearTCO'!$B$34:$F$34</f>
            </numRef>
          </val>
        </ser>
        <ser>
          <idx val="2"/>
          <order val="2"/>
          <tx>
            <strRef>
              <f>'FiveYearTCO'!A54</f>
            </strRef>
          </tx>
          <spPr>
            <a:ln xmlns:a="http://schemas.openxmlformats.org/drawingml/2006/main">
              <a:prstDash val="solid"/>
            </a:ln>
          </spPr>
          <cat>
            <numRef>
              <f>'FiveYearTCO'!$B$4:$F$4</f>
            </numRef>
          </cat>
          <val>
            <numRef>
              <f>'FiveYearTCO'!$B$54:$F$54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66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80" customWidth="1" min="7" max="7"/>
  </cols>
  <sheetData>
    <row r="1">
      <c r="A1" s="1" t="inlineStr">
        <is>
          <t>Alder Valley Bancorp — Hybrid Platform TCO Assumptions (ILLUSTRATIVE)</t>
        </is>
      </c>
    </row>
    <row r="2">
      <c r="A2" s="2" t="inlineStr">
        <is>
          <t>Legend: blue = input · black = formula · green = link · yellow fill = quote-based or key assumption. Year 1 = Oct 2026–Sep 2027. $ unless stated.</t>
        </is>
      </c>
    </row>
    <row r="4">
      <c r="A4" s="3" t="inlineStr">
        <is>
          <t>Timeline drivers (docs/migration-roadmap.md)</t>
        </is>
      </c>
    </row>
    <row r="5">
      <c r="A5" s="4" t="inlineStr">
        <is>
          <t>Driver</t>
        </is>
      </c>
      <c r="B5" s="4" t="inlineStr">
        <is>
          <t>Y1</t>
        </is>
      </c>
      <c r="C5" s="4" t="inlineStr">
        <is>
          <t>Y2</t>
        </is>
      </c>
      <c r="D5" s="4" t="inlineStr">
        <is>
          <t>Y3</t>
        </is>
      </c>
      <c r="E5" s="4" t="inlineStr">
        <is>
          <t>Y4</t>
        </is>
      </c>
      <c r="F5" s="4" t="inlineStr">
        <is>
          <t>Y5</t>
        </is>
      </c>
      <c r="G5" s="4" t="inlineStr">
        <is>
          <t>Basis</t>
        </is>
      </c>
    </row>
    <row r="6">
      <c r="A6" s="5" t="inlineStr">
        <is>
          <t>VCF current subscription: months</t>
        </is>
      </c>
      <c r="B6" s="6" t="n">
        <v>6</v>
      </c>
      <c r="C6" s="6" t="n">
        <v>0</v>
      </c>
      <c r="D6" s="6" t="n">
        <v>0</v>
      </c>
      <c r="E6" s="6" t="n">
        <v>0</v>
      </c>
      <c r="F6" s="6" t="n">
        <v>0</v>
      </c>
      <c r="G6" s="7" t="inlineStr">
        <is>
          <t>Current term ends 31 Mar 2027 (M6)</t>
        </is>
      </c>
    </row>
    <row r="7">
      <c r="A7" s="5" t="inlineStr">
        <is>
          <t>SQ/VCF paths: months at the 3-yr renewal quote</t>
        </is>
      </c>
      <c r="B7" s="6" t="n">
        <v>6</v>
      </c>
      <c r="C7" s="6" t="n">
        <v>12</v>
      </c>
      <c r="D7" s="6" t="n">
        <v>12</v>
      </c>
      <c r="E7" s="6" t="n">
        <v>6</v>
      </c>
      <c r="F7" s="6" t="n">
        <v>0</v>
      </c>
      <c r="G7" s="7" t="inlineStr">
        <is>
          <t>Apr 2027 – Mar 2030</t>
        </is>
      </c>
    </row>
    <row r="8">
      <c r="A8" s="5" t="inlineStr">
        <is>
          <t>SQ/VCF paths: months at the next renewal (uplifted)</t>
        </is>
      </c>
      <c r="B8" s="6" t="n">
        <v>0</v>
      </c>
      <c r="C8" s="6" t="n">
        <v>0</v>
      </c>
      <c r="D8" s="6" t="n">
        <v>0</v>
      </c>
      <c r="E8" s="6" t="n">
        <v>6</v>
      </c>
      <c r="F8" s="6" t="n">
        <v>12</v>
      </c>
      <c r="G8" s="7" t="inlineStr">
        <is>
          <t>From Apr 2030</t>
        </is>
      </c>
    </row>
    <row r="9">
      <c r="A9" s="5" t="inlineStr">
        <is>
          <t>AZ path: months on the VCF bridge</t>
        </is>
      </c>
      <c r="B9" s="6" t="n">
        <v>6</v>
      </c>
      <c r="C9" s="6" t="n">
        <v>9</v>
      </c>
      <c r="D9" s="6" t="n">
        <v>0</v>
      </c>
      <c r="E9" s="6" t="n">
        <v>0</v>
      </c>
      <c r="F9" s="6" t="n">
        <v>0</v>
      </c>
      <c r="G9" s="7" t="inlineStr">
        <is>
          <t>ADR-032: 1 Apr 2027 – 30 Jun 2028 (15 months)</t>
        </is>
      </c>
    </row>
    <row r="10">
      <c r="A10" s="5" t="inlineStr">
        <is>
          <t>AZ path: Horizon share still paid</t>
        </is>
      </c>
      <c r="B10" s="8" t="n">
        <v>1</v>
      </c>
      <c r="C10" s="8" t="n">
        <v>0.1666666666666667</v>
      </c>
      <c r="D10" s="8" t="n">
        <v>0</v>
      </c>
      <c r="E10" s="8" t="n">
        <v>0</v>
      </c>
      <c r="F10" s="8" t="n">
        <v>0</v>
      </c>
      <c r="G10" s="7" t="inlineStr">
        <is>
          <t>Horizon retired M14 (Nov 2027)</t>
        </is>
      </c>
    </row>
    <row r="11">
      <c r="A11" s="5" t="inlineStr">
        <is>
          <t>AZ path: AVD share of full estate</t>
        </is>
      </c>
      <c r="B11" s="8" t="n">
        <v>0.25</v>
      </c>
      <c r="C11" s="8" t="n">
        <v>0.95</v>
      </c>
      <c r="D11" s="8" t="n">
        <v>1</v>
      </c>
      <c r="E11" s="8" t="n">
        <v>1</v>
      </c>
      <c r="F11" s="8" t="n">
        <v>1</v>
      </c>
      <c r="G11" s="7" t="inlineStr">
        <is>
          <t>Pilot + rollout M9–M14</t>
        </is>
      </c>
    </row>
    <row r="12">
      <c r="A12" s="5" t="inlineStr">
        <is>
          <t>SQ/VCF paths: legacy hardware maintenance ($)</t>
        </is>
      </c>
      <c r="B12" s="9" t="n">
        <v>550000</v>
      </c>
      <c r="C12" s="9" t="n">
        <v>350000</v>
      </c>
      <c r="D12" s="9" t="n">
        <v>300000</v>
      </c>
      <c r="E12" s="9" t="n">
        <v>300000</v>
      </c>
      <c r="F12" s="9" t="n">
        <v>300000</v>
      </c>
      <c r="G12" s="7" t="inlineStr">
        <is>
          <t>Refreshed kit carries 5-yr warranty in capex; 2023 hosts out of warranty from 2028</t>
        </is>
      </c>
    </row>
    <row r="13">
      <c r="A13" s="5" t="inlineStr">
        <is>
          <t>AZ path: legacy hardware maintenance ($)</t>
        </is>
      </c>
      <c r="B13" s="9" t="n">
        <v>550000</v>
      </c>
      <c r="C13" s="9" t="n">
        <v>400000</v>
      </c>
      <c r="D13" s="9" t="n">
        <v>150000</v>
      </c>
      <c r="E13" s="9" t="n">
        <v>150000</v>
      </c>
      <c r="F13" s="9" t="n">
        <v>150000</v>
      </c>
      <c r="G13" s="7" t="inlineStr">
        <is>
          <t>Legacy retired M20; 2023 hosts re-imaged into Azure Local (maintenance on those only)</t>
        </is>
      </c>
    </row>
    <row r="14">
      <c r="A14" s="5" t="inlineStr">
        <is>
          <t>Guest governance services ramp (VCF and AZ)</t>
        </is>
      </c>
      <c r="B14" s="8" t="n">
        <v>0.5</v>
      </c>
      <c r="C14" s="8" t="n">
        <v>1</v>
      </c>
      <c r="D14" s="8" t="n">
        <v>1</v>
      </c>
      <c r="E14" s="8" t="n">
        <v>1</v>
      </c>
      <c r="F14" s="8" t="n">
        <v>1</v>
      </c>
      <c r="G14" s="7" t="inlineStr">
        <is>
          <t>Arc-enabled servers on all guests from Phase 0</t>
        </is>
      </c>
    </row>
    <row r="15">
      <c r="A15" s="5" t="inlineStr">
        <is>
          <t>Azure landing zone ramp (VCF and AZ)</t>
        </is>
      </c>
      <c r="B15" s="8" t="n">
        <v>0.6</v>
      </c>
      <c r="C15" s="8" t="n">
        <v>1</v>
      </c>
      <c r="D15" s="8" t="n">
        <v>1</v>
      </c>
      <c r="E15" s="8" t="n">
        <v>1</v>
      </c>
      <c r="F15" s="8" t="n">
        <v>1</v>
      </c>
      <c r="G15" s="7" t="inlineStr">
        <is>
          <t>Landing zone from M2; dev/test moves M8–M13</t>
        </is>
      </c>
    </row>
    <row r="16">
      <c r="A16" s="5" t="inlineStr">
        <is>
          <t>Added FTE ramp</t>
        </is>
      </c>
      <c r="B16" s="8" t="n">
        <v>0.5</v>
      </c>
      <c r="C16" s="8" t="n">
        <v>1</v>
      </c>
      <c r="D16" s="8" t="n">
        <v>1</v>
      </c>
      <c r="E16" s="8" t="n">
        <v>1</v>
      </c>
      <c r="F16" s="8" t="n">
        <v>1</v>
      </c>
      <c r="G16" s="7" t="inlineStr">
        <is>
          <t>Hires in Phase 0–1</t>
        </is>
      </c>
    </row>
    <row r="17">
      <c r="A17" s="5" t="inlineStr">
        <is>
          <t>VCF path: vDefend + Live Recovery ramp</t>
        </is>
      </c>
      <c r="B17" s="8" t="n">
        <v>0.5</v>
      </c>
      <c r="C17" s="8" t="n">
        <v>1</v>
      </c>
      <c r="D17" s="8" t="n">
        <v>1</v>
      </c>
      <c r="E17" s="8" t="n">
        <v>1</v>
      </c>
      <c r="F17" s="8" t="n">
        <v>1</v>
      </c>
      <c r="G17" s="7" t="inlineStr">
        <is>
          <t>From renewal (Apr 2027)</t>
        </is>
      </c>
    </row>
    <row r="18">
      <c r="A18" s="5" t="inlineStr">
        <is>
          <t>AZ path: vDefend on Tier-0 hosts during the bridge (share of full scope)</t>
        </is>
      </c>
      <c r="B18" s="8" t="n">
        <v>0.25</v>
      </c>
      <c r="C18" s="8" t="n">
        <v>0.375</v>
      </c>
      <c r="D18" s="8" t="n">
        <v>0</v>
      </c>
      <c r="E18" s="8" t="n">
        <v>0</v>
      </c>
      <c r="F18" s="8" t="n">
        <v>0</v>
      </c>
      <c r="G18" s="7" t="inlineStr">
        <is>
          <t>ADR-033: NSX parity for the MRA tests on VMware — half the scope for the bridge months</t>
        </is>
      </c>
    </row>
    <row r="20">
      <c r="A20" s="3" t="inlineStr">
        <is>
          <t>VMware (Broadcom)</t>
        </is>
      </c>
    </row>
    <row r="21">
      <c r="A21" s="4" t="inlineStr">
        <is>
          <t>Input</t>
        </is>
      </c>
      <c r="B21" s="4" t="inlineStr">
        <is>
          <t>Value</t>
        </is>
      </c>
      <c r="C21" s="4" t="inlineStr">
        <is>
          <t>Unit</t>
        </is>
      </c>
      <c r="D21" s="4" t="inlineStr"/>
      <c r="E21" s="4" t="inlineStr"/>
      <c r="F21" s="4" t="inlineStr"/>
      <c r="G21" s="4" t="inlineStr">
        <is>
          <t>Basis / source</t>
        </is>
      </c>
    </row>
    <row r="22">
      <c r="A22" s="5" t="inlineStr">
        <is>
          <t>VCF subscription, current term</t>
        </is>
      </c>
      <c r="B22" s="9" t="n">
        <v>1250000</v>
      </c>
      <c r="C22" s="5" t="inlineStr">
        <is>
          <t>$ / yr</t>
        </is>
      </c>
      <c r="G22" s="7" t="inlineStr">
        <is>
          <t>current-state.md §6</t>
        </is>
      </c>
    </row>
    <row r="23">
      <c r="A23" s="5" t="inlineStr">
        <is>
          <t>VCF 3-year renewal quote (P0)</t>
        </is>
      </c>
      <c r="B23" s="10" t="n">
        <v>1650000</v>
      </c>
      <c r="C23" s="5" t="inlineStr">
        <is>
          <t>$ / yr</t>
        </is>
      </c>
      <c r="G23" s="7" t="inlineStr">
        <is>
          <t>current-state.md §6 — the G0-2 comparison point</t>
        </is>
      </c>
    </row>
    <row r="24">
      <c r="A24" s="5" t="inlineStr">
        <is>
          <t>Uplift at the following renewal (Apr 2030)</t>
        </is>
      </c>
      <c r="B24" s="11" t="n">
        <v>0.15</v>
      </c>
      <c r="C24" s="5" t="inlineStr">
        <is>
          <t>%</t>
        </is>
      </c>
      <c r="G24" s="7" t="inlineStr">
        <is>
          <t>ASSUMPTION — reported renewal increases</t>
        </is>
      </c>
    </row>
    <row r="25">
      <c r="A25" s="5" t="inlineStr">
        <is>
          <t>Short-term (bridge) premium over the renewal rate</t>
        </is>
      </c>
      <c r="B25" s="11" t="n">
        <v>0.1</v>
      </c>
      <c r="C25" s="5" t="inlineStr">
        <is>
          <t>%</t>
        </is>
      </c>
      <c r="G25" s="7" t="inlineStr">
        <is>
          <t>ASSUMPTION — ADR-032</t>
        </is>
      </c>
    </row>
    <row r="26">
      <c r="A26" s="5" t="inlineStr">
        <is>
          <t>vDefend distributed firewall add-on</t>
        </is>
      </c>
      <c r="B26" s="10" t="n">
        <v>90</v>
      </c>
      <c r="C26" s="5" t="inlineStr">
        <is>
          <t>$ / core-yr</t>
        </is>
      </c>
      <c r="G26" s="7" t="inlineStr">
        <is>
          <t>ILLUSTRATIVE — quote-based (ADR-011)</t>
        </is>
      </c>
    </row>
    <row r="27">
      <c r="A27" s="5" t="inlineStr">
        <is>
          <t>Cores needing vDefend (Z0, PCI, Oracle, Z1 hosts, both sites)</t>
        </is>
      </c>
      <c r="B27" s="6" t="n">
        <v>1600</v>
      </c>
      <c r="C27" s="5" t="inlineStr">
        <is>
          <t>cores</t>
        </is>
      </c>
      <c r="G27" s="7" t="inlineStr">
        <is>
          <t>ADR-011 scope</t>
        </is>
      </c>
    </row>
    <row r="28">
      <c r="A28" s="5" t="inlineStr">
        <is>
          <t>VMware Live Recovery add-on</t>
        </is>
      </c>
      <c r="B28" s="10" t="n">
        <v>250000</v>
      </c>
      <c r="C28" s="5" t="inlineStr">
        <is>
          <t>$ / yr</t>
        </is>
      </c>
      <c r="G28" s="7" t="inlineStr">
        <is>
          <t>ILLUSTRATIVE — quote-based (ADR-010)</t>
        </is>
      </c>
    </row>
    <row r="29">
      <c r="A29" s="5" t="inlineStr">
        <is>
          <t>Omnissa Horizon</t>
        </is>
      </c>
      <c r="B29" s="9" t="n">
        <v>350000</v>
      </c>
      <c r="C29" s="5" t="inlineStr">
        <is>
          <t>$ / yr</t>
        </is>
      </c>
      <c r="G29" s="7" t="inlineStr">
        <is>
          <t>current-state.md §6</t>
        </is>
      </c>
    </row>
    <row r="30">
      <c r="A30" s="3" t="inlineStr">
        <is>
          <t>Azure Local + Arc</t>
        </is>
      </c>
    </row>
    <row r="31">
      <c r="A31" s="4" t="inlineStr">
        <is>
          <t>Input</t>
        </is>
      </c>
      <c r="B31" s="4" t="inlineStr">
        <is>
          <t>Value</t>
        </is>
      </c>
      <c r="C31" s="4" t="inlineStr">
        <is>
          <t>Unit</t>
        </is>
      </c>
      <c r="D31" s="4" t="inlineStr"/>
      <c r="E31" s="4" t="inlineStr"/>
      <c r="F31" s="4" t="inlineStr"/>
      <c r="G31" s="4" t="inlineStr">
        <is>
          <t>Basis / source</t>
        </is>
      </c>
    </row>
    <row r="32">
      <c r="A32" s="5" t="inlineStr">
        <is>
          <t>Azure Local host fee (L1)</t>
        </is>
      </c>
      <c r="B32" s="9" t="n">
        <v>10</v>
      </c>
      <c r="C32" s="5" t="inlineStr">
        <is>
          <t>$ / core-month</t>
        </is>
      </c>
      <c r="G32" s="7" t="inlineStr">
        <is>
          <t>Microsoft pricing (from 25 Jun 2026)</t>
        </is>
      </c>
    </row>
    <row r="33">
      <c r="A33" s="5" t="inlineStr">
        <is>
          <t>Azure Local physical cores at full estate</t>
        </is>
      </c>
      <c r="B33" s="6" t="n">
        <v>4160</v>
      </c>
      <c r="C33" s="5" t="inlineStr">
        <is>
          <t>cores</t>
        </is>
      </c>
      <c r="G33" s="7" t="inlineStr">
        <is>
          <t>Same core count as today (no consolidation assumed)</t>
        </is>
      </c>
    </row>
    <row r="34">
      <c r="A34" s="5" t="inlineStr">
        <is>
          <t>Share of cores covered by Azure Hybrid Benefit</t>
        </is>
      </c>
      <c r="B34" s="11" t="n">
        <v>1</v>
      </c>
      <c r="C34" s="5" t="inlineStr">
        <is>
          <t>%</t>
        </is>
      </c>
      <c r="G34" s="7" t="inlineStr">
        <is>
          <t>ASSUMPTION — WS Datacenter + SA covers every host core; VERIFY at G0-2</t>
        </is>
      </c>
    </row>
    <row r="35">
      <c r="A35" s="5" t="inlineStr">
        <is>
          <t>AVD session-host vCPUs (1,400 users)</t>
        </is>
      </c>
      <c r="B35" s="6" t="n">
        <v>1760</v>
      </c>
      <c r="C35" s="5" t="inlineStr">
        <is>
          <t>vCPU</t>
        </is>
      </c>
      <c r="G35" s="7" t="inlineStr">
        <is>
          <t>ILLUSTRATIVE sizing</t>
        </is>
      </c>
    </row>
    <row r="36">
      <c r="A36" s="5" t="inlineStr">
        <is>
          <t>AVD on Azure Local service fee</t>
        </is>
      </c>
      <c r="B36" s="12" t="n">
        <v>0.01</v>
      </c>
      <c r="C36" s="5" t="inlineStr">
        <is>
          <t>$ / vCPU-hr</t>
        </is>
      </c>
      <c r="G36" s="7" t="inlineStr">
        <is>
          <t>ILLUSTRATIVE — confirm; user rights via M365 licences</t>
        </is>
      </c>
    </row>
    <row r="37">
      <c r="A37" s="3" t="inlineStr">
        <is>
          <t>Governance and landing zone (VCF and AZ paths — driver 3/4 capabilities the status quo lacks)</t>
        </is>
      </c>
    </row>
    <row r="38">
      <c r="A38" s="4" t="inlineStr">
        <is>
          <t>Input</t>
        </is>
      </c>
      <c r="B38" s="4" t="inlineStr">
        <is>
          <t>Value</t>
        </is>
      </c>
      <c r="C38" s="4" t="inlineStr">
        <is>
          <t>Unit</t>
        </is>
      </c>
      <c r="D38" s="4" t="inlineStr"/>
      <c r="E38" s="4" t="inlineStr"/>
      <c r="F38" s="4" t="inlineStr"/>
      <c r="G38" s="4" t="inlineStr">
        <is>
          <t>Basis / source</t>
        </is>
      </c>
    </row>
    <row r="39">
      <c r="A39" s="5" t="inlineStr">
        <is>
          <t>Guest servers under governance</t>
        </is>
      </c>
      <c r="B39" s="6" t="n">
        <v>2040</v>
      </c>
      <c r="C39" s="5" t="inlineStr">
        <is>
          <t>servers</t>
        </is>
      </c>
      <c r="G39" s="7" t="inlineStr">
        <is>
          <t>~2,400 VMs less ~15% retired</t>
        </is>
      </c>
    </row>
    <row r="40">
      <c r="A40" s="5" t="inlineStr">
        <is>
          <t>Guest governance services (Defender for Servers, Update Manager, Policy, logs)</t>
        </is>
      </c>
      <c r="B40" s="10" t="n">
        <v>20</v>
      </c>
      <c r="C40" s="5" t="inlineStr">
        <is>
          <t>$ / server-month</t>
        </is>
      </c>
      <c r="G40" s="7" t="inlineStr">
        <is>
          <t>ILLUSTRATIVE — list-price basis</t>
        </is>
      </c>
    </row>
    <row r="41">
      <c r="A41" s="5" t="inlineStr">
        <is>
          <t>Azure landing zone run cost (dev/test, analytics, ML, vault copies)</t>
        </is>
      </c>
      <c r="B41" s="9" t="n">
        <v>250000</v>
      </c>
      <c r="C41" s="5" t="inlineStr">
        <is>
          <t>$ / yr</t>
        </is>
      </c>
      <c r="G41" s="7" t="inlineStr">
        <is>
          <t>ILLUSTRATIVE</t>
        </is>
      </c>
    </row>
    <row r="42">
      <c r="A42" s="3" t="inlineStr">
        <is>
          <t>People (NFR-12: at most 4 hires)</t>
        </is>
      </c>
    </row>
    <row r="43">
      <c r="A43" s="4" t="inlineStr">
        <is>
          <t>Input</t>
        </is>
      </c>
      <c r="B43" s="4" t="inlineStr">
        <is>
          <t>Value</t>
        </is>
      </c>
      <c r="C43" s="4" t="inlineStr">
        <is>
          <t>Unit</t>
        </is>
      </c>
      <c r="D43" s="4" t="inlineStr"/>
      <c r="E43" s="4" t="inlineStr"/>
      <c r="F43" s="4" t="inlineStr"/>
      <c r="G43" s="4" t="inlineStr">
        <is>
          <t>Basis / source</t>
        </is>
      </c>
    </row>
    <row r="44">
      <c r="A44" s="5" t="inlineStr">
        <is>
          <t>Loaded cost per added FTE</t>
        </is>
      </c>
      <c r="B44" s="9" t="n">
        <v>170000</v>
      </c>
      <c r="C44" s="5" t="inlineStr">
        <is>
          <t>$ / yr</t>
        </is>
      </c>
      <c r="G44" s="7" t="inlineStr">
        <is>
          <t>ILLUSTRATIVE</t>
        </is>
      </c>
    </row>
    <row r="45">
      <c r="A45" s="5" t="inlineStr">
        <is>
          <t>Added FTEs — VCF path</t>
        </is>
      </c>
      <c r="B45" s="6" t="n">
        <v>1</v>
      </c>
      <c r="C45" s="5" t="inlineStr">
        <is>
          <t>FTE</t>
        </is>
      </c>
      <c r="G45" s="7" t="inlineStr">
        <is>
          <t>Automation / VCF Automation</t>
        </is>
      </c>
    </row>
    <row r="46">
      <c r="A46" s="5" t="inlineStr">
        <is>
          <t>Added FTEs — AZ path</t>
        </is>
      </c>
      <c r="B46" s="6" t="n">
        <v>3</v>
      </c>
      <c r="C46" s="5" t="inlineStr">
        <is>
          <t>FTE</t>
        </is>
      </c>
      <c r="G46" s="7" t="inlineStr">
        <is>
          <t>Azure Local, automation, platform engineering</t>
        </is>
      </c>
    </row>
    <row r="47">
      <c r="A47" s="3" t="inlineStr">
        <is>
          <t>Common to all paths (equal; shown for a complete TCO)</t>
        </is>
      </c>
    </row>
    <row r="48">
      <c r="A48" s="4" t="inlineStr">
        <is>
          <t>Input</t>
        </is>
      </c>
      <c r="B48" s="4" t="inlineStr">
        <is>
          <t>Value</t>
        </is>
      </c>
      <c r="C48" s="4" t="inlineStr">
        <is>
          <t>Unit</t>
        </is>
      </c>
      <c r="D48" s="4" t="inlineStr"/>
      <c r="E48" s="4" t="inlineStr"/>
      <c r="F48" s="4" t="inlineStr"/>
      <c r="G48" s="4" t="inlineStr">
        <is>
          <t>Basis / source</t>
        </is>
      </c>
    </row>
    <row r="49">
      <c r="A49" s="5" t="inlineStr">
        <is>
          <t>Windows Server Datacenter (EA with SA)</t>
        </is>
      </c>
      <c r="B49" s="9" t="n">
        <v>600000</v>
      </c>
      <c r="C49" s="5" t="inlineStr">
        <is>
          <t>$ / yr</t>
        </is>
      </c>
      <c r="G49" s="7" t="inlineStr">
        <is>
          <t>current-state.md §6 — also the basis of Azure Hybrid Benefit</t>
        </is>
      </c>
    </row>
    <row r="50">
      <c r="A50" s="5" t="inlineStr">
        <is>
          <t>RHEL subscriptions</t>
        </is>
      </c>
      <c r="B50" s="9" t="n">
        <v>400000</v>
      </c>
      <c r="C50" s="5" t="inlineStr">
        <is>
          <t>$ / yr</t>
        </is>
      </c>
      <c r="G50" s="7" t="inlineStr">
        <is>
          <t>current-state.md §6</t>
        </is>
      </c>
    </row>
    <row r="51">
      <c r="A51" s="5" t="inlineStr">
        <is>
          <t>Veeam and backup-appliance support</t>
        </is>
      </c>
      <c r="B51" s="9" t="n">
        <v>300000</v>
      </c>
      <c r="C51" s="5" t="inlineStr">
        <is>
          <t>$ / yr</t>
        </is>
      </c>
      <c r="G51" s="7" t="inlineStr">
        <is>
          <t>current-state.md §6</t>
        </is>
      </c>
    </row>
    <row r="52">
      <c r="A52" s="5" t="inlineStr">
        <is>
          <t>DC2 colocation + DC1 facility share</t>
        </is>
      </c>
      <c r="B52" s="9" t="n">
        <v>1600000</v>
      </c>
      <c r="C52" s="5" t="inlineStr">
        <is>
          <t>$ / yr</t>
        </is>
      </c>
      <c r="G52" s="7" t="inlineStr">
        <is>
          <t>current-state.md §6</t>
        </is>
      </c>
    </row>
    <row r="53">
      <c r="A53" s="3" t="inlineStr">
        <is>
          <t>Capital (hardware)</t>
        </is>
      </c>
    </row>
    <row r="54">
      <c r="A54" s="4" t="inlineStr">
        <is>
          <t>Input</t>
        </is>
      </c>
      <c r="B54" s="4" t="inlineStr">
        <is>
          <t>Value</t>
        </is>
      </c>
      <c r="C54" s="4" t="inlineStr">
        <is>
          <t>Unit</t>
        </is>
      </c>
      <c r="D54" s="4" t="inlineStr"/>
      <c r="E54" s="4" t="inlineStr"/>
      <c r="F54" s="4" t="inlineStr"/>
      <c r="G54" s="4" t="inlineStr">
        <is>
          <t>Basis / source</t>
        </is>
      </c>
    </row>
    <row r="55">
      <c r="A55" s="5" t="inlineStr">
        <is>
          <t>SQ: like-for-like refresh (44 hosts + DC1 FC array)</t>
        </is>
      </c>
      <c r="B55" s="9" t="n">
        <v>4200000</v>
      </c>
      <c r="C55" s="5" t="inlineStr">
        <is>
          <t>$</t>
        </is>
      </c>
      <c r="G55" s="7" t="inlineStr">
        <is>
          <t>current-state.md §6</t>
        </is>
      </c>
    </row>
    <row r="56">
      <c r="A56" s="5" t="inlineStr">
        <is>
          <t>VCF: 44 vSAN ESA hosts, FC array retired</t>
        </is>
      </c>
      <c r="B56" s="10" t="n">
        <v>3400000</v>
      </c>
      <c r="C56" s="5" t="inlineStr">
        <is>
          <t>$</t>
        </is>
      </c>
      <c r="G56" s="7" t="inlineStr">
        <is>
          <t>ILLUSTRATIVE — ADR-009</t>
        </is>
      </c>
    </row>
    <row r="57">
      <c r="A57" s="5" t="inlineStr">
        <is>
          <t>AZ: Azure Local validated nodes (replace 44 hosts + Tier-0/Oracle instances)</t>
        </is>
      </c>
      <c r="B57" s="10" t="n">
        <v>3600000</v>
      </c>
      <c r="C57" s="5" t="inlineStr">
        <is>
          <t>$</t>
        </is>
      </c>
      <c r="G57" s="7" t="inlineStr">
        <is>
          <t>ILLUSTRATIVE — ADR-015</t>
        </is>
      </c>
    </row>
    <row r="58">
      <c r="A58" s="5" t="inlineStr">
        <is>
          <t>AZ: re-image and upgrade 32 hosts from 2023 (NICs, NVMe)</t>
        </is>
      </c>
      <c r="B58" s="10" t="n">
        <v>300000</v>
      </c>
      <c r="C58" s="5" t="inlineStr">
        <is>
          <t>$</t>
        </is>
      </c>
      <c r="G58" s="7" t="inlineStr">
        <is>
          <t>ASSUMPTION — 2023 hosts on the Azure Local catalog; verify</t>
        </is>
      </c>
    </row>
    <row r="59">
      <c r="A59" s="5" t="inlineStr">
        <is>
          <t>AZ: G0 lab (8 nodes, later the clean room)</t>
        </is>
      </c>
      <c r="B59" s="9" t="n">
        <v>400000</v>
      </c>
      <c r="C59" s="5" t="inlineStr">
        <is>
          <t>$</t>
        </is>
      </c>
      <c r="G59" s="7" t="inlineStr">
        <is>
          <t>ILLUSTRATIVE</t>
        </is>
      </c>
    </row>
    <row r="60">
      <c r="A60" s="3" t="inlineStr">
        <is>
          <t>Decision robustness (docs/decision-matrix.md)</t>
        </is>
      </c>
    </row>
    <row r="61">
      <c r="A61" s="4" t="inlineStr">
        <is>
          <t>Input</t>
        </is>
      </c>
      <c r="B61" s="4" t="inlineStr">
        <is>
          <t>Value</t>
        </is>
      </c>
      <c r="C61" s="4" t="inlineStr">
        <is>
          <t>Unit</t>
        </is>
      </c>
      <c r="D61" s="4" t="inlineStr"/>
      <c r="E61" s="4" t="inlineStr"/>
      <c r="F61" s="4" t="inlineStr"/>
      <c r="G61" s="4" t="inlineStr">
        <is>
          <t>Basis / source</t>
        </is>
      </c>
    </row>
    <row r="62">
      <c r="A62" s="5" t="inlineStr">
        <is>
          <t>Azure cost score</t>
        </is>
      </c>
      <c r="B62" s="13" t="n">
        <v>4.5</v>
      </c>
      <c r="C62" s="5" t="inlineStr">
        <is>
          <t>/ 5</t>
        </is>
      </c>
      <c r="G62" s="7" t="inlineStr">
        <is>
          <t>decision-matrix.md</t>
        </is>
      </c>
    </row>
    <row r="63">
      <c r="A63" s="5" t="inlineStr">
        <is>
          <t>VCF cost score at the quote</t>
        </is>
      </c>
      <c r="B63" s="13" t="n">
        <v>2</v>
      </c>
      <c r="C63" s="5" t="inlineStr">
        <is>
          <t>/ 5</t>
        </is>
      </c>
      <c r="G63" s="7" t="inlineStr">
        <is>
          <t>decision-matrix.md</t>
        </is>
      </c>
    </row>
    <row r="64">
      <c r="A64" s="5" t="inlineStr">
        <is>
          <t>VCF cost score that flips the decision</t>
        </is>
      </c>
      <c r="B64" s="13" t="n">
        <v>3.5</v>
      </c>
      <c r="C64" s="5" t="inlineStr">
        <is>
          <t>/ 5</t>
        </is>
      </c>
      <c r="G64" s="7" t="inlineStr">
        <is>
          <t>decision-matrix.md sensitivity (4.025 vs 3.95)</t>
        </is>
      </c>
    </row>
    <row r="65">
      <c r="A65" s="3" t="inlineStr">
        <is>
          <t>Oracle consolidation lever (platform-neutral)</t>
        </is>
      </c>
    </row>
    <row r="66">
      <c r="A66" s="4" t="inlineStr">
        <is>
          <t>Input</t>
        </is>
      </c>
      <c r="B66" s="4" t="inlineStr">
        <is>
          <t>Value</t>
        </is>
      </c>
      <c r="C66" s="4" t="inlineStr">
        <is>
          <t>Unit</t>
        </is>
      </c>
      <c r="D66" s="4" t="inlineStr"/>
      <c r="E66" s="4" t="inlineStr"/>
      <c r="F66" s="4" t="inlineStr"/>
      <c r="G66" s="4" t="inlineStr">
        <is>
          <t>Basis / source</t>
        </is>
      </c>
    </row>
    <row r="67">
      <c r="A67" s="5" t="inlineStr">
        <is>
          <t>Oracle-licensed cores today</t>
        </is>
      </c>
      <c r="B67" s="6" t="n">
        <v>640</v>
      </c>
      <c r="C67" s="5" t="inlineStr">
        <is>
          <t>cores</t>
        </is>
      </c>
      <c r="G67" s="7" t="inlineStr">
        <is>
          <t>current-state.md §3</t>
        </is>
      </c>
    </row>
    <row r="68">
      <c r="A68" s="5" t="inlineStr">
        <is>
          <t>Oracle-licensed cores after consolidation at refresh</t>
        </is>
      </c>
      <c r="B68" s="14" t="n">
        <v>512</v>
      </c>
      <c r="C68" s="5" t="inlineStr">
        <is>
          <t>cores</t>
        </is>
      </c>
      <c r="G68" s="7" t="inlineStr">
        <is>
          <t>ASSUMPTION — fewer, faster cores; subject to the batch PoC (NFR-4)</t>
        </is>
      </c>
    </row>
    <row r="69">
      <c r="A69" s="5" t="inlineStr">
        <is>
          <t>Oracle core factor (x86)</t>
        </is>
      </c>
      <c r="B69" s="13" t="n">
        <v>0.5</v>
      </c>
      <c r="C69" s="5" t="inlineStr">
        <is>
          <t>×</t>
        </is>
      </c>
      <c r="G69" s="7" t="inlineStr">
        <is>
          <t>Oracle core factor table</t>
        </is>
      </c>
    </row>
    <row r="70">
      <c r="A70" s="5" t="inlineStr">
        <is>
          <t>Oracle annual support per processor licence</t>
        </is>
      </c>
      <c r="B70" s="10" t="n">
        <v>10450</v>
      </c>
      <c r="C70" s="5" t="inlineStr">
        <is>
          <t>$ / licence-yr</t>
        </is>
      </c>
      <c r="G70" s="7" t="inlineStr">
        <is>
          <t>ILLUSTRATIVE — 22% of $47,500 list; actual per contract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9" customWidth="1" min="2" max="2"/>
    <col width="12" customWidth="1" min="3" max="3"/>
    <col width="14" customWidth="1" min="4" max="4"/>
    <col width="14" customWidth="1" min="5" max="5"/>
    <col width="1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48" customWidth="1" min="17" max="17"/>
    <col width="11" customWidth="1" min="18" max="18"/>
  </cols>
  <sheetData>
    <row r="1">
      <c r="A1" s="1" t="inlineStr">
        <is>
          <t>One-Time Program Costs and Phasing (illustrative)</t>
        </is>
      </c>
    </row>
    <row r="2">
      <c r="A2" s="2" t="inlineStr">
        <is>
          <t>Path: ALL = every path (the MRA program is mandatory regardless); VCF; AZ. Phasing must total 100% (column R).</t>
        </is>
      </c>
    </row>
    <row r="4">
      <c r="A4" s="4" t="inlineStr">
        <is>
          <t>Item</t>
        </is>
      </c>
      <c r="B4" s="4" t="inlineStr">
        <is>
          <t>Path</t>
        </is>
      </c>
      <c r="C4" s="4" t="inlineStr">
        <is>
          <t>Quantity</t>
        </is>
      </c>
      <c r="D4" s="4" t="inlineStr">
        <is>
          <t>Unit cost ($)</t>
        </is>
      </c>
      <c r="E4" s="4" t="inlineStr">
        <is>
          <t>Unit</t>
        </is>
      </c>
      <c r="F4" s="4" t="inlineStr">
        <is>
          <t>Total ($)</t>
        </is>
      </c>
      <c r="G4" s="4" t="inlineStr">
        <is>
          <t>Y1 %</t>
        </is>
      </c>
      <c r="H4" s="4" t="inlineStr">
        <is>
          <t>Y2 %</t>
        </is>
      </c>
      <c r="I4" s="4" t="inlineStr">
        <is>
          <t>Y3 %</t>
        </is>
      </c>
      <c r="J4" s="4" t="inlineStr">
        <is>
          <t>Y4 %</t>
        </is>
      </c>
      <c r="K4" s="4" t="inlineStr">
        <is>
          <t>Y5 %</t>
        </is>
      </c>
      <c r="L4" s="4" t="inlineStr">
        <is>
          <t>Y1 $</t>
        </is>
      </c>
      <c r="M4" s="4" t="inlineStr">
        <is>
          <t>Y2 $</t>
        </is>
      </c>
      <c r="N4" s="4" t="inlineStr">
        <is>
          <t>Y3 $</t>
        </is>
      </c>
      <c r="O4" s="4" t="inlineStr">
        <is>
          <t>Y4 $</t>
        </is>
      </c>
      <c r="P4" s="4" t="inlineStr">
        <is>
          <t>Y5 $</t>
        </is>
      </c>
      <c r="Q4" s="4" t="inlineStr">
        <is>
          <t>Basis</t>
        </is>
      </c>
      <c r="R4" s="4" t="inlineStr">
        <is>
          <t>Check</t>
        </is>
      </c>
    </row>
    <row r="5">
      <c r="A5" s="5" t="inlineStr">
        <is>
          <t>Resilience program: Git plans, orchestrator, NSX/firewall parity, Data Guard sizing</t>
        </is>
      </c>
      <c r="B5" s="15" t="inlineStr">
        <is>
          <t>ALL</t>
        </is>
      </c>
      <c r="C5" s="6" t="n">
        <v>1</v>
      </c>
      <c r="D5" s="9" t="n">
        <v>600000</v>
      </c>
      <c r="E5" s="5" t="inlineStr">
        <is>
          <t>lump</t>
        </is>
      </c>
      <c r="F5" s="16">
        <f>C5*D5</f>
        <v/>
      </c>
      <c r="G5" s="8" t="n">
        <v>0.7</v>
      </c>
      <c r="H5" s="8" t="n">
        <v>0.3</v>
      </c>
      <c r="I5" s="8" t="n">
        <v>0</v>
      </c>
      <c r="J5" s="8" t="n">
        <v>0</v>
      </c>
      <c r="K5" s="8" t="n">
        <v>0</v>
      </c>
      <c r="L5" s="16">
        <f>$F5*G5</f>
        <v/>
      </c>
      <c r="M5" s="16">
        <f>$F5*H5</f>
        <v/>
      </c>
      <c r="N5" s="16">
        <f>$F5*I5</f>
        <v/>
      </c>
      <c r="O5" s="16">
        <f>$F5*J5</f>
        <v/>
      </c>
      <c r="P5" s="16">
        <f>$F5*K5</f>
        <v/>
      </c>
      <c r="Q5" s="7" t="inlineStr">
        <is>
          <t>ADR-002, ADR-006, ADR-033</t>
        </is>
      </c>
      <c r="R5" s="17">
        <f>SUM(G5:K5)</f>
        <v/>
      </c>
    </row>
    <row r="6">
      <c r="A6" s="5" t="inlineStr">
        <is>
          <t>Vault + clean-room build</t>
        </is>
      </c>
      <c r="B6" s="15" t="inlineStr">
        <is>
          <t>ALL</t>
        </is>
      </c>
      <c r="C6" s="6" t="n">
        <v>1</v>
      </c>
      <c r="D6" s="9" t="n">
        <v>450000</v>
      </c>
      <c r="E6" s="5" t="inlineStr">
        <is>
          <t>lump</t>
        </is>
      </c>
      <c r="F6" s="16">
        <f>C6*D6</f>
        <v/>
      </c>
      <c r="G6" s="8" t="n">
        <v>0.8</v>
      </c>
      <c r="H6" s="8" t="n">
        <v>0.2</v>
      </c>
      <c r="I6" s="8" t="n">
        <v>0</v>
      </c>
      <c r="J6" s="8" t="n">
        <v>0</v>
      </c>
      <c r="K6" s="8" t="n">
        <v>0</v>
      </c>
      <c r="L6" s="16">
        <f>$F6*G6</f>
        <v/>
      </c>
      <c r="M6" s="16">
        <f>$F6*H6</f>
        <v/>
      </c>
      <c r="N6" s="16">
        <f>$F6*I6</f>
        <v/>
      </c>
      <c r="O6" s="16">
        <f>$F6*J6</f>
        <v/>
      </c>
      <c r="P6" s="16">
        <f>$F6*K6</f>
        <v/>
      </c>
      <c r="Q6" s="7" t="inlineStr">
        <is>
          <t>ADR-003</t>
        </is>
      </c>
      <c r="R6" s="17">
        <f>SUM(G6:K6)</f>
        <v/>
      </c>
    </row>
    <row r="7">
      <c r="A7" s="5" t="inlineStr">
        <is>
          <t>Inventory reconciliation + Arc onboarding of existing guests</t>
        </is>
      </c>
      <c r="B7" s="15" t="inlineStr">
        <is>
          <t>ALL</t>
        </is>
      </c>
      <c r="C7" s="6" t="n">
        <v>1</v>
      </c>
      <c r="D7" s="9" t="n">
        <v>150000</v>
      </c>
      <c r="E7" s="5" t="inlineStr">
        <is>
          <t>lump</t>
        </is>
      </c>
      <c r="F7" s="16">
        <f>C7*D7</f>
        <v/>
      </c>
      <c r="G7" s="8" t="n">
        <v>1</v>
      </c>
      <c r="H7" s="8" t="n">
        <v>0</v>
      </c>
      <c r="I7" s="8" t="n">
        <v>0</v>
      </c>
      <c r="J7" s="8" t="n">
        <v>0</v>
      </c>
      <c r="K7" s="8" t="n">
        <v>0</v>
      </c>
      <c r="L7" s="16">
        <f>$F7*G7</f>
        <v/>
      </c>
      <c r="M7" s="16">
        <f>$F7*H7</f>
        <v/>
      </c>
      <c r="N7" s="16">
        <f>$F7*I7</f>
        <v/>
      </c>
      <c r="O7" s="16">
        <f>$F7*J7</f>
        <v/>
      </c>
      <c r="P7" s="16">
        <f>$F7*K7</f>
        <v/>
      </c>
      <c r="Q7" s="7" t="inlineStr">
        <is>
          <t>MRA inventory finding</t>
        </is>
      </c>
      <c r="R7" s="17">
        <f>SUM(G7:K7)</f>
        <v/>
      </c>
    </row>
    <row r="8">
      <c r="A8" s="5" t="inlineStr">
        <is>
          <t>Azure landing zone build + AWS account closure</t>
        </is>
      </c>
      <c r="B8" s="15" t="inlineStr">
        <is>
          <t>VCF</t>
        </is>
      </c>
      <c r="C8" s="6" t="n">
        <v>1</v>
      </c>
      <c r="D8" s="9" t="n">
        <v>200000</v>
      </c>
      <c r="E8" s="5" t="inlineStr">
        <is>
          <t>lump</t>
        </is>
      </c>
      <c r="F8" s="16">
        <f>C8*D8</f>
        <v/>
      </c>
      <c r="G8" s="8" t="n">
        <v>1</v>
      </c>
      <c r="H8" s="8" t="n">
        <v>0</v>
      </c>
      <c r="I8" s="8" t="n">
        <v>0</v>
      </c>
      <c r="J8" s="8" t="n">
        <v>0</v>
      </c>
      <c r="K8" s="8" t="n">
        <v>0</v>
      </c>
      <c r="L8" s="16">
        <f>$F8*G8</f>
        <v/>
      </c>
      <c r="M8" s="16">
        <f>$F8*H8</f>
        <v/>
      </c>
      <c r="N8" s="16">
        <f>$F8*I8</f>
        <v/>
      </c>
      <c r="O8" s="16">
        <f>$F8*J8</f>
        <v/>
      </c>
      <c r="P8" s="16">
        <f>$F8*K8</f>
        <v/>
      </c>
      <c r="Q8" s="7" t="inlineStr">
        <is>
          <t>ADR-014 / driver 4</t>
        </is>
      </c>
      <c r="R8" s="17">
        <f>SUM(G8:K8)</f>
        <v/>
      </c>
    </row>
    <row r="9">
      <c r="A9" s="5" t="inlineStr">
        <is>
          <t>VCF 9.1 upgrade + VCF Automation / VKS enablement</t>
        </is>
      </c>
      <c r="B9" s="15" t="inlineStr">
        <is>
          <t>VCF</t>
        </is>
      </c>
      <c r="C9" s="6" t="n">
        <v>1</v>
      </c>
      <c r="D9" s="9" t="n">
        <v>400000</v>
      </c>
      <c r="E9" s="5" t="inlineStr">
        <is>
          <t>lump</t>
        </is>
      </c>
      <c r="F9" s="16">
        <f>C9*D9</f>
        <v/>
      </c>
      <c r="G9" s="8" t="n">
        <v>0.6</v>
      </c>
      <c r="H9" s="8" t="n">
        <v>0.4</v>
      </c>
      <c r="I9" s="8" t="n">
        <v>0</v>
      </c>
      <c r="J9" s="8" t="n">
        <v>0</v>
      </c>
      <c r="K9" s="8" t="n">
        <v>0</v>
      </c>
      <c r="L9" s="16">
        <f>$F9*G9</f>
        <v/>
      </c>
      <c r="M9" s="16">
        <f>$F9*H9</f>
        <v/>
      </c>
      <c r="N9" s="16">
        <f>$F9*I9</f>
        <v/>
      </c>
      <c r="O9" s="16">
        <f>$F9*J9</f>
        <v/>
      </c>
      <c r="P9" s="16">
        <f>$F9*K9</f>
        <v/>
      </c>
      <c r="Q9" s="7" t="inlineStr">
        <is>
          <t>ADR-009, ADR-013</t>
        </is>
      </c>
      <c r="R9" s="17">
        <f>SUM(G9:K9)</f>
        <v/>
      </c>
    </row>
    <row r="10">
      <c r="A10" s="5" t="inlineStr">
        <is>
          <t>Live Recovery implementation</t>
        </is>
      </c>
      <c r="B10" s="15" t="inlineStr">
        <is>
          <t>VCF</t>
        </is>
      </c>
      <c r="C10" s="6" t="n">
        <v>1</v>
      </c>
      <c r="D10" s="9" t="n">
        <v>200000</v>
      </c>
      <c r="E10" s="5" t="inlineStr">
        <is>
          <t>lump</t>
        </is>
      </c>
      <c r="F10" s="16">
        <f>C10*D10</f>
        <v/>
      </c>
      <c r="G10" s="8" t="n">
        <v>0.8</v>
      </c>
      <c r="H10" s="8" t="n">
        <v>0.2</v>
      </c>
      <c r="I10" s="8" t="n">
        <v>0</v>
      </c>
      <c r="J10" s="8" t="n">
        <v>0</v>
      </c>
      <c r="K10" s="8" t="n">
        <v>0</v>
      </c>
      <c r="L10" s="16">
        <f>$F10*G10</f>
        <v/>
      </c>
      <c r="M10" s="16">
        <f>$F10*H10</f>
        <v/>
      </c>
      <c r="N10" s="16">
        <f>$F10*I10</f>
        <v/>
      </c>
      <c r="O10" s="16">
        <f>$F10*J10</f>
        <v/>
      </c>
      <c r="P10" s="16">
        <f>$F10*K10</f>
        <v/>
      </c>
      <c r="Q10" s="7" t="inlineStr">
        <is>
          <t>ADR-010</t>
        </is>
      </c>
      <c r="R10" s="17">
        <f>SUM(G10:K10)</f>
        <v/>
      </c>
    </row>
    <row r="11">
      <c r="A11" s="5" t="inlineStr">
        <is>
          <t>Rancher → VKS</t>
        </is>
      </c>
      <c r="B11" s="15" t="inlineStr">
        <is>
          <t>VCF</t>
        </is>
      </c>
      <c r="C11" s="6" t="n">
        <v>1</v>
      </c>
      <c r="D11" s="9" t="n">
        <v>100000</v>
      </c>
      <c r="E11" s="5" t="inlineStr">
        <is>
          <t>lump</t>
        </is>
      </c>
      <c r="F11" s="16">
        <f>C11*D11</f>
        <v/>
      </c>
      <c r="G11" s="8" t="n">
        <v>0.5</v>
      </c>
      <c r="H11" s="8" t="n">
        <v>0.5</v>
      </c>
      <c r="I11" s="8" t="n">
        <v>0</v>
      </c>
      <c r="J11" s="8" t="n">
        <v>0</v>
      </c>
      <c r="K11" s="8" t="n">
        <v>0</v>
      </c>
      <c r="L11" s="16">
        <f>$F11*G11</f>
        <v/>
      </c>
      <c r="M11" s="16">
        <f>$F11*H11</f>
        <v/>
      </c>
      <c r="N11" s="16">
        <f>$F11*I11</f>
        <v/>
      </c>
      <c r="O11" s="16">
        <f>$F11*J11</f>
        <v/>
      </c>
      <c r="P11" s="16">
        <f>$F11*K11</f>
        <v/>
      </c>
      <c r="Q11" s="7" t="inlineStr">
        <is>
          <t>ADR-013</t>
        </is>
      </c>
      <c r="R11" s="17">
        <f>SUM(G11:K11)</f>
        <v/>
      </c>
    </row>
    <row r="12">
      <c r="A12" s="5" t="inlineStr">
        <is>
          <t>Program management + training (VCF)</t>
        </is>
      </c>
      <c r="B12" s="15" t="inlineStr">
        <is>
          <t>VCF</t>
        </is>
      </c>
      <c r="C12" s="6" t="n">
        <v>1</v>
      </c>
      <c r="D12" s="9" t="n">
        <v>300000</v>
      </c>
      <c r="E12" s="5" t="inlineStr">
        <is>
          <t>lump</t>
        </is>
      </c>
      <c r="F12" s="16">
        <f>C12*D12</f>
        <v/>
      </c>
      <c r="G12" s="8" t="n">
        <v>0.5</v>
      </c>
      <c r="H12" s="8" t="n">
        <v>0.5</v>
      </c>
      <c r="I12" s="8" t="n">
        <v>0</v>
      </c>
      <c r="J12" s="8" t="n">
        <v>0</v>
      </c>
      <c r="K12" s="8" t="n">
        <v>0</v>
      </c>
      <c r="L12" s="16">
        <f>$F12*G12</f>
        <v/>
      </c>
      <c r="M12" s="16">
        <f>$F12*H12</f>
        <v/>
      </c>
      <c r="N12" s="16">
        <f>$F12*I12</f>
        <v/>
      </c>
      <c r="O12" s="16">
        <f>$F12*J12</f>
        <v/>
      </c>
      <c r="P12" s="16">
        <f>$F12*K12</f>
        <v/>
      </c>
      <c r="Q12" s="7" t="inlineStr">
        <is>
          <t>Illustrative</t>
        </is>
      </c>
      <c r="R12" s="17">
        <f>SUM(G12:K12)</f>
        <v/>
      </c>
    </row>
    <row r="13">
      <c r="A13" s="5" t="inlineStr">
        <is>
          <t>Azure landing zone build + AWS account closure</t>
        </is>
      </c>
      <c r="B13" s="15" t="inlineStr">
        <is>
          <t>AZ</t>
        </is>
      </c>
      <c r="C13" s="6" t="n">
        <v>1</v>
      </c>
      <c r="D13" s="9" t="n">
        <v>200000</v>
      </c>
      <c r="E13" s="5" t="inlineStr">
        <is>
          <t>lump</t>
        </is>
      </c>
      <c r="F13" s="16">
        <f>C13*D13</f>
        <v/>
      </c>
      <c r="G13" s="8" t="n">
        <v>1</v>
      </c>
      <c r="H13" s="8" t="n">
        <v>0</v>
      </c>
      <c r="I13" s="8" t="n">
        <v>0</v>
      </c>
      <c r="J13" s="8" t="n">
        <v>0</v>
      </c>
      <c r="K13" s="8" t="n">
        <v>0</v>
      </c>
      <c r="L13" s="16">
        <f>$F13*G13</f>
        <v/>
      </c>
      <c r="M13" s="16">
        <f>$F13*H13</f>
        <v/>
      </c>
      <c r="N13" s="16">
        <f>$F13*I13</f>
        <v/>
      </c>
      <c r="O13" s="16">
        <f>$F13*J13</f>
        <v/>
      </c>
      <c r="P13" s="16">
        <f>$F13*K13</f>
        <v/>
      </c>
      <c r="Q13" s="7" t="inlineStr">
        <is>
          <t>ADR-019</t>
        </is>
      </c>
      <c r="R13" s="17">
        <f>SUM(G13:K13)</f>
        <v/>
      </c>
    </row>
    <row r="14">
      <c r="A14" s="5" t="inlineStr">
        <is>
          <t>G0 proof-of-concept services</t>
        </is>
      </c>
      <c r="B14" s="15" t="inlineStr">
        <is>
          <t>AZ</t>
        </is>
      </c>
      <c r="C14" s="6" t="n">
        <v>1</v>
      </c>
      <c r="D14" s="9" t="n">
        <v>150000</v>
      </c>
      <c r="E14" s="5" t="inlineStr">
        <is>
          <t>lump</t>
        </is>
      </c>
      <c r="F14" s="16">
        <f>C14*D14</f>
        <v/>
      </c>
      <c r="G14" s="8" t="n">
        <v>1</v>
      </c>
      <c r="H14" s="8" t="n">
        <v>0</v>
      </c>
      <c r="I14" s="8" t="n">
        <v>0</v>
      </c>
      <c r="J14" s="8" t="n">
        <v>0</v>
      </c>
      <c r="K14" s="8" t="n">
        <v>0</v>
      </c>
      <c r="L14" s="16">
        <f>$F14*G14</f>
        <v/>
      </c>
      <c r="M14" s="16">
        <f>$F14*H14</f>
        <v/>
      </c>
      <c r="N14" s="16">
        <f>$F14*I14</f>
        <v/>
      </c>
      <c r="O14" s="16">
        <f>$F14*J14</f>
        <v/>
      </c>
      <c r="P14" s="16">
        <f>$F14*K14</f>
        <v/>
      </c>
      <c r="Q14" s="7" t="inlineStr">
        <is>
          <t>ADR-031</t>
        </is>
      </c>
      <c r="R14" s="17">
        <f>SUM(G14:K14)</f>
        <v/>
      </c>
    </row>
    <row r="15">
      <c r="A15" s="5" t="inlineStr">
        <is>
          <t>Tier-2/1 migration services (1,895 VMs)</t>
        </is>
      </c>
      <c r="B15" s="15" t="inlineStr">
        <is>
          <t>AZ</t>
        </is>
      </c>
      <c r="C15" s="6" t="n">
        <v>1895</v>
      </c>
      <c r="D15" s="9" t="n">
        <v>250</v>
      </c>
      <c r="E15" s="5" t="inlineStr">
        <is>
          <t>per VM</t>
        </is>
      </c>
      <c r="F15" s="16">
        <f>C15*D15</f>
        <v/>
      </c>
      <c r="G15" s="8" t="n">
        <v>0.5</v>
      </c>
      <c r="H15" s="8" t="n">
        <v>0.5</v>
      </c>
      <c r="I15" s="8" t="n">
        <v>0</v>
      </c>
      <c r="J15" s="8" t="n">
        <v>0</v>
      </c>
      <c r="K15" s="8" t="n">
        <v>0</v>
      </c>
      <c r="L15" s="16">
        <f>$F15*G15</f>
        <v/>
      </c>
      <c r="M15" s="16">
        <f>$F15*H15</f>
        <v/>
      </c>
      <c r="N15" s="16">
        <f>$F15*I15</f>
        <v/>
      </c>
      <c r="O15" s="16">
        <f>$F15*J15</f>
        <v/>
      </c>
      <c r="P15" s="16">
        <f>$F15*K15</f>
        <v/>
      </c>
      <c r="Q15" s="7" t="inlineStr">
        <is>
          <t>ADR-034, Azure Migrate</t>
        </is>
      </c>
      <c r="R15" s="17">
        <f>SUM(G15:K15)</f>
        <v/>
      </c>
    </row>
    <row r="16">
      <c r="A16" s="5" t="inlineStr">
        <is>
          <t>Tier-0 migration project (Data Guard switchover, appliances, core app)</t>
        </is>
      </c>
      <c r="B16" s="15" t="inlineStr">
        <is>
          <t>AZ</t>
        </is>
      </c>
      <c r="C16" s="6" t="n">
        <v>1</v>
      </c>
      <c r="D16" s="9" t="n">
        <v>600000</v>
      </c>
      <c r="E16" s="5" t="inlineStr">
        <is>
          <t>lump</t>
        </is>
      </c>
      <c r="F16" s="16">
        <f>C16*D16</f>
        <v/>
      </c>
      <c r="G16" s="8" t="n">
        <v>0</v>
      </c>
      <c r="H16" s="8" t="n">
        <v>1</v>
      </c>
      <c r="I16" s="8" t="n">
        <v>0</v>
      </c>
      <c r="J16" s="8" t="n">
        <v>0</v>
      </c>
      <c r="K16" s="8" t="n">
        <v>0</v>
      </c>
      <c r="L16" s="16">
        <f>$F16*G16</f>
        <v/>
      </c>
      <c r="M16" s="16">
        <f>$F16*H16</f>
        <v/>
      </c>
      <c r="N16" s="16">
        <f>$F16*I16</f>
        <v/>
      </c>
      <c r="O16" s="16">
        <f>$F16*J16</f>
        <v/>
      </c>
      <c r="P16" s="16">
        <f>$F16*K16</f>
        <v/>
      </c>
      <c r="Q16" s="7" t="inlineStr">
        <is>
          <t>ADR-034</t>
        </is>
      </c>
      <c r="R16" s="17">
        <f>SUM(G16:K16)</f>
        <v/>
      </c>
    </row>
    <row r="17">
      <c r="A17" s="5" t="inlineStr">
        <is>
          <t>Recovery executors re-targeted to Hyper-V Replica / Datacenter Firewall</t>
        </is>
      </c>
      <c r="B17" s="15" t="inlineStr">
        <is>
          <t>AZ</t>
        </is>
      </c>
      <c r="C17" s="6" t="n">
        <v>1</v>
      </c>
      <c r="D17" s="9" t="n">
        <v>200000</v>
      </c>
      <c r="E17" s="5" t="inlineStr">
        <is>
          <t>lump</t>
        </is>
      </c>
      <c r="F17" s="16">
        <f>C17*D17</f>
        <v/>
      </c>
      <c r="G17" s="8" t="n">
        <v>0.3</v>
      </c>
      <c r="H17" s="8" t="n">
        <v>0.7</v>
      </c>
      <c r="I17" s="8" t="n">
        <v>0</v>
      </c>
      <c r="J17" s="8" t="n">
        <v>0</v>
      </c>
      <c r="K17" s="8" t="n">
        <v>0</v>
      </c>
      <c r="L17" s="16">
        <f>$F17*G17</f>
        <v/>
      </c>
      <c r="M17" s="16">
        <f>$F17*H17</f>
        <v/>
      </c>
      <c r="N17" s="16">
        <f>$F17*I17</f>
        <v/>
      </c>
      <c r="O17" s="16">
        <f>$F17*J17</f>
        <v/>
      </c>
      <c r="P17" s="16">
        <f>$F17*K17</f>
        <v/>
      </c>
      <c r="Q17" s="7" t="inlineStr">
        <is>
          <t>ADR-017, ADR-033</t>
        </is>
      </c>
      <c r="R17" s="17">
        <f>SUM(G17:K17)</f>
        <v/>
      </c>
    </row>
    <row r="18">
      <c r="A18" s="5" t="inlineStr">
        <is>
          <t>AVD rollout (1,400 users)</t>
        </is>
      </c>
      <c r="B18" s="15" t="inlineStr">
        <is>
          <t>AZ</t>
        </is>
      </c>
      <c r="C18" s="6" t="n">
        <v>1</v>
      </c>
      <c r="D18" s="9" t="n">
        <v>300000</v>
      </c>
      <c r="E18" s="5" t="inlineStr">
        <is>
          <t>lump</t>
        </is>
      </c>
      <c r="F18" s="16">
        <f>C18*D18</f>
        <v/>
      </c>
      <c r="G18" s="8" t="n">
        <v>0.5</v>
      </c>
      <c r="H18" s="8" t="n">
        <v>0.5</v>
      </c>
      <c r="I18" s="8" t="n">
        <v>0</v>
      </c>
      <c r="J18" s="8" t="n">
        <v>0</v>
      </c>
      <c r="K18" s="8" t="n">
        <v>0</v>
      </c>
      <c r="L18" s="16">
        <f>$F18*G18</f>
        <v/>
      </c>
      <c r="M18" s="16">
        <f>$F18*H18</f>
        <v/>
      </c>
      <c r="N18" s="16">
        <f>$F18*I18</f>
        <v/>
      </c>
      <c r="O18" s="16">
        <f>$F18*J18</f>
        <v/>
      </c>
      <c r="P18" s="16">
        <f>$F18*K18</f>
        <v/>
      </c>
      <c r="Q18" s="7" t="inlineStr">
        <is>
          <t>ADR-020</t>
        </is>
      </c>
      <c r="R18" s="17">
        <f>SUM(G18:K18)</f>
        <v/>
      </c>
    </row>
    <row r="19">
      <c r="A19" s="5" t="inlineStr">
        <is>
          <t>Rancher → AKS on Azure Local</t>
        </is>
      </c>
      <c r="B19" s="15" t="inlineStr">
        <is>
          <t>AZ</t>
        </is>
      </c>
      <c r="C19" s="6" t="n">
        <v>1</v>
      </c>
      <c r="D19" s="9" t="n">
        <v>100000</v>
      </c>
      <c r="E19" s="5" t="inlineStr">
        <is>
          <t>lump</t>
        </is>
      </c>
      <c r="F19" s="16">
        <f>C19*D19</f>
        <v/>
      </c>
      <c r="G19" s="8" t="n">
        <v>0.5</v>
      </c>
      <c r="H19" s="8" t="n">
        <v>0.5</v>
      </c>
      <c r="I19" s="8" t="n">
        <v>0</v>
      </c>
      <c r="J19" s="8" t="n">
        <v>0</v>
      </c>
      <c r="K19" s="8" t="n">
        <v>0</v>
      </c>
      <c r="L19" s="16">
        <f>$F19*G19</f>
        <v/>
      </c>
      <c r="M19" s="16">
        <f>$F19*H19</f>
        <v/>
      </c>
      <c r="N19" s="16">
        <f>$F19*I19</f>
        <v/>
      </c>
      <c r="O19" s="16">
        <f>$F19*J19</f>
        <v/>
      </c>
      <c r="P19" s="16">
        <f>$F19*K19</f>
        <v/>
      </c>
      <c r="Q19" s="7" t="inlineStr">
        <is>
          <t>ADR-019</t>
        </is>
      </c>
      <c r="R19" s="17">
        <f>SUM(G19:K19)</f>
        <v/>
      </c>
    </row>
    <row r="20">
      <c r="A20" s="5" t="inlineStr">
        <is>
          <t>Training (Azure Local, Hyper-V, Terraform)</t>
        </is>
      </c>
      <c r="B20" s="15" t="inlineStr">
        <is>
          <t>AZ</t>
        </is>
      </c>
      <c r="C20" s="6" t="n">
        <v>1</v>
      </c>
      <c r="D20" s="9" t="n">
        <v>200000</v>
      </c>
      <c r="E20" s="5" t="inlineStr">
        <is>
          <t>lump</t>
        </is>
      </c>
      <c r="F20" s="16">
        <f>C20*D20</f>
        <v/>
      </c>
      <c r="G20" s="8" t="n">
        <v>0.5</v>
      </c>
      <c r="H20" s="8" t="n">
        <v>0.5</v>
      </c>
      <c r="I20" s="8" t="n">
        <v>0</v>
      </c>
      <c r="J20" s="8" t="n">
        <v>0</v>
      </c>
      <c r="K20" s="8" t="n">
        <v>0</v>
      </c>
      <c r="L20" s="16">
        <f>$F20*G20</f>
        <v/>
      </c>
      <c r="M20" s="16">
        <f>$F20*H20</f>
        <v/>
      </c>
      <c r="N20" s="16">
        <f>$F20*I20</f>
        <v/>
      </c>
      <c r="O20" s="16">
        <f>$F20*J20</f>
        <v/>
      </c>
      <c r="P20" s="16">
        <f>$F20*K20</f>
        <v/>
      </c>
      <c r="Q20" s="7" t="inlineStr">
        <is>
          <t>Driver 5</t>
        </is>
      </c>
      <c r="R20" s="17">
        <f>SUM(G20:K20)</f>
        <v/>
      </c>
    </row>
    <row r="21">
      <c r="A21" s="5" t="inlineStr">
        <is>
          <t>Program management + change (AZ)</t>
        </is>
      </c>
      <c r="B21" s="15" t="inlineStr">
        <is>
          <t>AZ</t>
        </is>
      </c>
      <c r="C21" s="6" t="n">
        <v>1</v>
      </c>
      <c r="D21" s="9" t="n">
        <v>600000</v>
      </c>
      <c r="E21" s="5" t="inlineStr">
        <is>
          <t>lump</t>
        </is>
      </c>
      <c r="F21" s="16">
        <f>C21*D21</f>
        <v/>
      </c>
      <c r="G21" s="8" t="n">
        <v>0.5</v>
      </c>
      <c r="H21" s="8" t="n">
        <v>0.5</v>
      </c>
      <c r="I21" s="8" t="n">
        <v>0</v>
      </c>
      <c r="J21" s="8" t="n">
        <v>0</v>
      </c>
      <c r="K21" s="8" t="n">
        <v>0</v>
      </c>
      <c r="L21" s="16">
        <f>$F21*G21</f>
        <v/>
      </c>
      <c r="M21" s="16">
        <f>$F21*H21</f>
        <v/>
      </c>
      <c r="N21" s="16">
        <f>$F21*I21</f>
        <v/>
      </c>
      <c r="O21" s="16">
        <f>$F21*J21</f>
        <v/>
      </c>
      <c r="P21" s="16">
        <f>$F21*K21</f>
        <v/>
      </c>
      <c r="Q21" s="7" t="inlineStr">
        <is>
          <t>Illustrative</t>
        </is>
      </c>
      <c r="R21" s="17">
        <f>SUM(G21:K21)</f>
        <v/>
      </c>
    </row>
    <row r="22">
      <c r="A22" s="18" t="inlineStr">
        <is>
          <t>Total one-time — ALL</t>
        </is>
      </c>
      <c r="F22" s="19">
        <f>SUMIF($B$5:$B$21,"ALL",F$5:F$21)</f>
        <v/>
      </c>
      <c r="L22" s="19">
        <f>SUMIF($B$5:$B$21,"ALL",L$5:L$21)</f>
        <v/>
      </c>
      <c r="M22" s="19">
        <f>SUMIF($B$5:$B$21,"ALL",M$5:M$21)</f>
        <v/>
      </c>
      <c r="N22" s="19">
        <f>SUMIF($B$5:$B$21,"ALL",N$5:N$21)</f>
        <v/>
      </c>
      <c r="O22" s="19">
        <f>SUMIF($B$5:$B$21,"ALL",O$5:O$21)</f>
        <v/>
      </c>
      <c r="P22" s="19">
        <f>SUMIF($B$5:$B$21,"ALL",P$5:P$21)</f>
        <v/>
      </c>
    </row>
    <row r="23">
      <c r="A23" s="18" t="inlineStr">
        <is>
          <t>Total one-time — VCF</t>
        </is>
      </c>
      <c r="F23" s="19">
        <f>SUMIF($B$5:$B$21,"VCF",F$5:F$21)</f>
        <v/>
      </c>
      <c r="L23" s="19">
        <f>SUMIF($B$5:$B$21,"VCF",L$5:L$21)</f>
        <v/>
      </c>
      <c r="M23" s="19">
        <f>SUMIF($B$5:$B$21,"VCF",M$5:M$21)</f>
        <v/>
      </c>
      <c r="N23" s="19">
        <f>SUMIF($B$5:$B$21,"VCF",N$5:N$21)</f>
        <v/>
      </c>
      <c r="O23" s="19">
        <f>SUMIF($B$5:$B$21,"VCF",O$5:O$21)</f>
        <v/>
      </c>
      <c r="P23" s="19">
        <f>SUMIF($B$5:$B$21,"VCF",P$5:P$21)</f>
        <v/>
      </c>
    </row>
    <row r="24">
      <c r="A24" s="18" t="inlineStr">
        <is>
          <t>Total one-time — AZ</t>
        </is>
      </c>
      <c r="F24" s="19">
        <f>SUMIF($B$5:$B$21,"AZ",F$5:F$21)</f>
        <v/>
      </c>
      <c r="L24" s="19">
        <f>SUMIF($B$5:$B$21,"AZ",L$5:L$21)</f>
        <v/>
      </c>
      <c r="M24" s="19">
        <f>SUMIF($B$5:$B$21,"AZ",M$5:M$21)</f>
        <v/>
      </c>
      <c r="N24" s="19">
        <f>SUMIF($B$5:$B$21,"AZ",N$5:N$21)</f>
        <v/>
      </c>
      <c r="O24" s="19">
        <f>SUMIF($B$5:$B$21,"AZ",O$5:O$21)</f>
        <v/>
      </c>
      <c r="P24" s="19">
        <f>SUMIF($B$5:$B$21,"AZ",P$5:P$21)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60" customWidth="1" min="8" max="8"/>
  </cols>
  <sheetData>
    <row r="1">
      <c r="A1" s="1" t="inlineStr">
        <is>
          <t>Five-Year TCO — Status Quo vs. VCF Track vs. Azure Local + Arc (illustrative)</t>
        </is>
      </c>
    </row>
    <row r="2">
      <c r="A2" s="2" t="inlineStr">
        <is>
          <t>Year 1 = Oct 2026–Sep 2027. 'Platform TCO' excludes the new governance and landing-zone capabilities the status quo lacks (NFR-10 is tested on it).</t>
        </is>
      </c>
    </row>
    <row r="4">
      <c r="A4" s="4" t="inlineStr">
        <is>
          <t>Line</t>
        </is>
      </c>
      <c r="B4" s="4" t="inlineStr">
        <is>
          <t>Y1</t>
        </is>
      </c>
      <c r="C4" s="4" t="inlineStr">
        <is>
          <t>Y2</t>
        </is>
      </c>
      <c r="D4" s="4" t="inlineStr">
        <is>
          <t>Y3</t>
        </is>
      </c>
      <c r="E4" s="4" t="inlineStr">
        <is>
          <t>Y4</t>
        </is>
      </c>
      <c r="F4" s="4" t="inlineStr">
        <is>
          <t>Y5</t>
        </is>
      </c>
      <c r="G4" s="4" t="inlineStr">
        <is>
          <t>5-yr total</t>
        </is>
      </c>
      <c r="H4" s="4" t="inlineStr">
        <is>
          <t>Formula basis</t>
        </is>
      </c>
    </row>
    <row r="5">
      <c r="A5" s="20" t="inlineStr">
        <is>
          <t>A. STATUS QUO — renew VCF (3-yr) + like-for-like refresh (NFR-10 baseline)</t>
        </is>
      </c>
      <c r="B5" s="20" t="n"/>
      <c r="C5" s="20" t="n"/>
      <c r="D5" s="20" t="n"/>
      <c r="E5" s="20" t="n"/>
      <c r="F5" s="20" t="n"/>
      <c r="G5" s="20" t="n"/>
      <c r="H5" s="20" t="n"/>
    </row>
    <row r="6">
      <c r="A6" s="5" t="inlineStr">
        <is>
          <t>VMware (current term, renewal, next renewal uplifted)</t>
        </is>
      </c>
      <c r="B6" s="16">
        <f>Assumptions!$B$22/12*Assumptions!$B$6+Assumptions!$B$23/12*Assumptions!$B$7+Assumptions!$B$23*(1+Assumptions!$B$24)/12*Assumptions!$B$8</f>
        <v/>
      </c>
      <c r="C6" s="16">
        <f>Assumptions!$B$22/12*Assumptions!$C$6+Assumptions!$B$23/12*Assumptions!$C$7+Assumptions!$B$23*(1+Assumptions!$B$24)/12*Assumptions!$C$8</f>
        <v/>
      </c>
      <c r="D6" s="16">
        <f>Assumptions!$B$22/12*Assumptions!$D$6+Assumptions!$B$23/12*Assumptions!$D$7+Assumptions!$B$23*(1+Assumptions!$B$24)/12*Assumptions!$D$8</f>
        <v/>
      </c>
      <c r="E6" s="16">
        <f>Assumptions!$B$22/12*Assumptions!$E$6+Assumptions!$B$23/12*Assumptions!$E$7+Assumptions!$B$23*(1+Assumptions!$B$24)/12*Assumptions!$E$8</f>
        <v/>
      </c>
      <c r="F6" s="16">
        <f>Assumptions!$B$22/12*Assumptions!$F$6+Assumptions!$B$23/12*Assumptions!$F$7+Assumptions!$B$23*(1+Assumptions!$B$24)/12*Assumptions!$F$8</f>
        <v/>
      </c>
      <c r="G6" s="16">
        <f>SUM(B6:F6)</f>
        <v/>
      </c>
      <c r="H6" s="7" t="inlineStr">
        <is>
          <t>months × rate</t>
        </is>
      </c>
    </row>
    <row r="7">
      <c r="A7" s="5" t="inlineStr">
        <is>
          <t>Omnissa Horizon</t>
        </is>
      </c>
      <c r="B7" s="16">
        <f>Assumptions!$B$29</f>
        <v/>
      </c>
      <c r="C7" s="16">
        <f>Assumptions!$B$29</f>
        <v/>
      </c>
      <c r="D7" s="16">
        <f>Assumptions!$B$29</f>
        <v/>
      </c>
      <c r="E7" s="16">
        <f>Assumptions!$B$29</f>
        <v/>
      </c>
      <c r="F7" s="16">
        <f>Assumptions!$B$29</f>
        <v/>
      </c>
      <c r="G7" s="16">
        <f>SUM(B7:F7)</f>
        <v/>
      </c>
      <c r="H7" s="7" t="inlineStr">
        <is>
          <t>Flat</t>
        </is>
      </c>
    </row>
    <row r="8">
      <c r="A8" s="5" t="inlineStr">
        <is>
          <t>Legacy hardware maintenance</t>
        </is>
      </c>
      <c r="B8" s="16">
        <f>Assumptions!$B$12</f>
        <v/>
      </c>
      <c r="C8" s="16">
        <f>Assumptions!$C$12</f>
        <v/>
      </c>
      <c r="D8" s="16">
        <f>Assumptions!$D$12</f>
        <v/>
      </c>
      <c r="E8" s="16">
        <f>Assumptions!$E$12</f>
        <v/>
      </c>
      <c r="F8" s="16">
        <f>Assumptions!$F$12</f>
        <v/>
      </c>
      <c r="G8" s="16">
        <f>SUM(B8:F8)</f>
        <v/>
      </c>
      <c r="H8" s="7" t="inlineStr">
        <is>
          <t>Timeline input</t>
        </is>
      </c>
    </row>
    <row r="9">
      <c r="A9" s="5" t="inlineStr">
        <is>
          <t>Like-for-like refresh (capex)</t>
        </is>
      </c>
      <c r="B9" s="16">
        <f>Assumptions!$B$55*0.5</f>
        <v/>
      </c>
      <c r="C9" s="16">
        <f>Assumptions!$B$55*0.5</f>
        <v/>
      </c>
      <c r="D9" s="16">
        <f>Assumptions!$B$55*0</f>
        <v/>
      </c>
      <c r="E9" s="16">
        <f>Assumptions!$B$55*0</f>
        <v/>
      </c>
      <c r="F9" s="16">
        <f>Assumptions!$B$55*0</f>
        <v/>
      </c>
      <c r="G9" s="16">
        <f>SUM(B9:F9)</f>
        <v/>
      </c>
      <c r="H9" s="7" t="inlineStr">
        <is>
          <t>50/50 across Y1–Y2 (EOS Dec 2027)</t>
        </is>
      </c>
    </row>
    <row r="10">
      <c r="A10" s="5" t="inlineStr">
        <is>
          <t>Windows Server Datacenter + SA (common)</t>
        </is>
      </c>
      <c r="B10" s="16">
        <f>Assumptions!$B$49</f>
        <v/>
      </c>
      <c r="C10" s="16">
        <f>Assumptions!$B$49</f>
        <v/>
      </c>
      <c r="D10" s="16">
        <f>Assumptions!$B$49</f>
        <v/>
      </c>
      <c r="E10" s="16">
        <f>Assumptions!$B$49</f>
        <v/>
      </c>
      <c r="F10" s="16">
        <f>Assumptions!$B$49</f>
        <v/>
      </c>
      <c r="G10" s="16">
        <f>SUM(B10:F10)</f>
        <v/>
      </c>
      <c r="H10" s="7" t="inlineStr">
        <is>
          <t>Equal in all paths</t>
        </is>
      </c>
    </row>
    <row r="11">
      <c r="A11" s="5" t="inlineStr">
        <is>
          <t>RHEL (common)</t>
        </is>
      </c>
      <c r="B11" s="16">
        <f>Assumptions!$B$50</f>
        <v/>
      </c>
      <c r="C11" s="16">
        <f>Assumptions!$B$50</f>
        <v/>
      </c>
      <c r="D11" s="16">
        <f>Assumptions!$B$50</f>
        <v/>
      </c>
      <c r="E11" s="16">
        <f>Assumptions!$B$50</f>
        <v/>
      </c>
      <c r="F11" s="16">
        <f>Assumptions!$B$50</f>
        <v/>
      </c>
      <c r="G11" s="16">
        <f>SUM(B11:F11)</f>
        <v/>
      </c>
      <c r="H11" s="7" t="inlineStr">
        <is>
          <t>Equal</t>
        </is>
      </c>
    </row>
    <row r="12">
      <c r="A12" s="5" t="inlineStr">
        <is>
          <t>Veeam (common)</t>
        </is>
      </c>
      <c r="B12" s="16">
        <f>Assumptions!$B$51</f>
        <v/>
      </c>
      <c r="C12" s="16">
        <f>Assumptions!$B$51</f>
        <v/>
      </c>
      <c r="D12" s="16">
        <f>Assumptions!$B$51</f>
        <v/>
      </c>
      <c r="E12" s="16">
        <f>Assumptions!$B$51</f>
        <v/>
      </c>
      <c r="F12" s="16">
        <f>Assumptions!$B$51</f>
        <v/>
      </c>
      <c r="G12" s="16">
        <f>SUM(B12:F12)</f>
        <v/>
      </c>
      <c r="H12" s="7" t="inlineStr">
        <is>
          <t>Equal</t>
        </is>
      </c>
    </row>
    <row r="13">
      <c r="A13" s="5" t="inlineStr">
        <is>
          <t>Facilities (common)</t>
        </is>
      </c>
      <c r="B13" s="16">
        <f>Assumptions!$B$52</f>
        <v/>
      </c>
      <c r="C13" s="16">
        <f>Assumptions!$B$52</f>
        <v/>
      </c>
      <c r="D13" s="16">
        <f>Assumptions!$B$52</f>
        <v/>
      </c>
      <c r="E13" s="16">
        <f>Assumptions!$B$52</f>
        <v/>
      </c>
      <c r="F13" s="16">
        <f>Assumptions!$B$52</f>
        <v/>
      </c>
      <c r="G13" s="16">
        <f>SUM(B13:F13)</f>
        <v/>
      </c>
      <c r="H13" s="7" t="inlineStr">
        <is>
          <t>Equal</t>
        </is>
      </c>
    </row>
    <row r="14">
      <c r="A14" s="5" t="inlineStr">
        <is>
          <t>MRA resilience program, one-time (common)</t>
        </is>
      </c>
      <c r="B14" s="21">
        <f>OneTime!L22</f>
        <v/>
      </c>
      <c r="C14" s="21">
        <f>OneTime!M22</f>
        <v/>
      </c>
      <c r="D14" s="21">
        <f>OneTime!N22</f>
        <v/>
      </c>
      <c r="E14" s="21">
        <f>OneTime!O22</f>
        <v/>
      </c>
      <c r="F14" s="21">
        <f>OneTime!P22</f>
        <v/>
      </c>
      <c r="G14" s="16">
        <f>SUM(B14:F14)</f>
        <v/>
      </c>
      <c r="H14" s="7" t="inlineStr">
        <is>
          <t>OneTime ALL</t>
        </is>
      </c>
    </row>
    <row r="15">
      <c r="A15" s="18" t="inlineStr">
        <is>
          <t>STATUS QUO TOTAL</t>
        </is>
      </c>
      <c r="B15" s="19">
        <f>B6+B7+B8+B9+B10+B11+B12+B13+B14</f>
        <v/>
      </c>
      <c r="C15" s="19">
        <f>C6+C7+C8+C9+C10+C11+C12+C13+C14</f>
        <v/>
      </c>
      <c r="D15" s="19">
        <f>D6+D7+D8+D9+D10+D11+D12+D13+D14</f>
        <v/>
      </c>
      <c r="E15" s="19">
        <f>E6+E7+E8+E9+E10+E11+E12+E13+E14</f>
        <v/>
      </c>
      <c r="F15" s="19">
        <f>F6+F7+F8+F9+F10+F11+F12+F13+F14</f>
        <v/>
      </c>
      <c r="G15" s="19">
        <f>G6+G7+G8+G9+G10+G11+G12+G13+G14</f>
        <v/>
      </c>
    </row>
    <row r="17">
      <c r="A17" s="20" t="inlineStr">
        <is>
          <t>B. VCF TRACK — modernize in place (Step 6)</t>
        </is>
      </c>
      <c r="B17" s="20" t="n"/>
      <c r="C17" s="20" t="n"/>
      <c r="D17" s="20" t="n"/>
      <c r="E17" s="20" t="n"/>
      <c r="F17" s="20" t="n"/>
      <c r="G17" s="20" t="n"/>
      <c r="H17" s="20" t="n"/>
    </row>
    <row r="18">
      <c r="A18" s="5" t="inlineStr">
        <is>
          <t>VMware (current term, renewal, next renewal uplifted)</t>
        </is>
      </c>
      <c r="B18" s="16">
        <f>Assumptions!$B$22/12*Assumptions!$B$6+Assumptions!$B$23/12*Assumptions!$B$7+Assumptions!$B$23*(1+Assumptions!$B$24)/12*Assumptions!$B$8</f>
        <v/>
      </c>
      <c r="C18" s="16">
        <f>Assumptions!$B$22/12*Assumptions!$C$6+Assumptions!$B$23/12*Assumptions!$C$7+Assumptions!$B$23*(1+Assumptions!$B$24)/12*Assumptions!$C$8</f>
        <v/>
      </c>
      <c r="D18" s="16">
        <f>Assumptions!$B$22/12*Assumptions!$D$6+Assumptions!$B$23/12*Assumptions!$D$7+Assumptions!$B$23*(1+Assumptions!$B$24)/12*Assumptions!$D$8</f>
        <v/>
      </c>
      <c r="E18" s="16">
        <f>Assumptions!$B$22/12*Assumptions!$E$6+Assumptions!$B$23/12*Assumptions!$E$7+Assumptions!$B$23*(1+Assumptions!$B$24)/12*Assumptions!$E$8</f>
        <v/>
      </c>
      <c r="F18" s="16">
        <f>Assumptions!$B$22/12*Assumptions!$F$6+Assumptions!$B$23/12*Assumptions!$F$7+Assumptions!$B$23*(1+Assumptions!$B$24)/12*Assumptions!$F$8</f>
        <v/>
      </c>
      <c r="G18" s="16">
        <f>SUM(B18:F18)</f>
        <v/>
      </c>
      <c r="H18" s="7" t="inlineStr">
        <is>
          <t>Same as status quo</t>
        </is>
      </c>
    </row>
    <row r="19">
      <c r="A19" s="5" t="inlineStr">
        <is>
          <t>vDefend add-on</t>
        </is>
      </c>
      <c r="B19" s="16">
        <f>Assumptions!$B$26*Assumptions!$B$27*Assumptions!$B$17</f>
        <v/>
      </c>
      <c r="C19" s="16">
        <f>Assumptions!$B$26*Assumptions!$B$27*Assumptions!$C$17</f>
        <v/>
      </c>
      <c r="D19" s="16">
        <f>Assumptions!$B$26*Assumptions!$B$27*Assumptions!$D$17</f>
        <v/>
      </c>
      <c r="E19" s="16">
        <f>Assumptions!$B$26*Assumptions!$B$27*Assumptions!$E$17</f>
        <v/>
      </c>
      <c r="F19" s="16">
        <f>Assumptions!$B$26*Assumptions!$B$27*Assumptions!$F$17</f>
        <v/>
      </c>
      <c r="G19" s="16">
        <f>SUM(B19:F19)</f>
        <v/>
      </c>
      <c r="H19" s="7" t="inlineStr">
        <is>
          <t>$/core × cores × ramp</t>
        </is>
      </c>
    </row>
    <row r="20">
      <c r="A20" s="5" t="inlineStr">
        <is>
          <t>Live Recovery add-on</t>
        </is>
      </c>
      <c r="B20" s="16">
        <f>Assumptions!$B$28*Assumptions!$B$17</f>
        <v/>
      </c>
      <c r="C20" s="16">
        <f>Assumptions!$B$28*Assumptions!$C$17</f>
        <v/>
      </c>
      <c r="D20" s="16">
        <f>Assumptions!$B$28*Assumptions!$D$17</f>
        <v/>
      </c>
      <c r="E20" s="16">
        <f>Assumptions!$B$28*Assumptions!$E$17</f>
        <v/>
      </c>
      <c r="F20" s="16">
        <f>Assumptions!$B$28*Assumptions!$F$17</f>
        <v/>
      </c>
      <c r="G20" s="16">
        <f>SUM(B20:F20)</f>
        <v/>
      </c>
      <c r="H20" s="7" t="inlineStr">
        <is>
          <t>× ramp</t>
        </is>
      </c>
    </row>
    <row r="21">
      <c r="A21" s="5" t="inlineStr">
        <is>
          <t>Omnissa Horizon</t>
        </is>
      </c>
      <c r="B21" s="16">
        <f>Assumptions!$B$29</f>
        <v/>
      </c>
      <c r="C21" s="16">
        <f>Assumptions!$B$29</f>
        <v/>
      </c>
      <c r="D21" s="16">
        <f>Assumptions!$B$29</f>
        <v/>
      </c>
      <c r="E21" s="16">
        <f>Assumptions!$B$29</f>
        <v/>
      </c>
      <c r="F21" s="16">
        <f>Assumptions!$B$29</f>
        <v/>
      </c>
      <c r="G21" s="16">
        <f>SUM(B21:F21)</f>
        <v/>
      </c>
      <c r="H21" s="7" t="inlineStr">
        <is>
          <t>Flat</t>
        </is>
      </c>
    </row>
    <row r="22">
      <c r="A22" s="5" t="inlineStr">
        <is>
          <t>Legacy hardware maintenance</t>
        </is>
      </c>
      <c r="B22" s="16">
        <f>Assumptions!$B$12</f>
        <v/>
      </c>
      <c r="C22" s="16">
        <f>Assumptions!$C$12</f>
        <v/>
      </c>
      <c r="D22" s="16">
        <f>Assumptions!$D$12</f>
        <v/>
      </c>
      <c r="E22" s="16">
        <f>Assumptions!$E$12</f>
        <v/>
      </c>
      <c r="F22" s="16">
        <f>Assumptions!$F$12</f>
        <v/>
      </c>
      <c r="G22" s="16">
        <f>SUM(B22:F22)</f>
        <v/>
      </c>
      <c r="H22" s="7" t="inlineStr">
        <is>
          <t>Timeline input</t>
        </is>
      </c>
    </row>
    <row r="23">
      <c r="A23" s="5" t="inlineStr">
        <is>
          <t>vSAN ESA refresh (capex)</t>
        </is>
      </c>
      <c r="B23" s="16">
        <f>Assumptions!$B$56*0.5</f>
        <v/>
      </c>
      <c r="C23" s="16">
        <f>Assumptions!$B$56*0.5</f>
        <v/>
      </c>
      <c r="D23" s="16">
        <f>Assumptions!$B$56*0</f>
        <v/>
      </c>
      <c r="E23" s="16">
        <f>Assumptions!$B$56*0</f>
        <v/>
      </c>
      <c r="F23" s="16">
        <f>Assumptions!$B$56*0</f>
        <v/>
      </c>
      <c r="G23" s="16">
        <f>SUM(B23:F23)</f>
        <v/>
      </c>
      <c r="H23" s="7" t="inlineStr">
        <is>
          <t>50/50 across Y1–Y2</t>
        </is>
      </c>
    </row>
    <row r="24">
      <c r="A24" s="5" t="inlineStr">
        <is>
          <t>Added FTEs</t>
        </is>
      </c>
      <c r="B24" s="16">
        <f>Assumptions!$B$44*Assumptions!$B$45*Assumptions!$B$16</f>
        <v/>
      </c>
      <c r="C24" s="16">
        <f>Assumptions!$B$44*Assumptions!$B$45*Assumptions!$C$16</f>
        <v/>
      </c>
      <c r="D24" s="16">
        <f>Assumptions!$B$44*Assumptions!$B$45*Assumptions!$D$16</f>
        <v/>
      </c>
      <c r="E24" s="16">
        <f>Assumptions!$B$44*Assumptions!$B$45*Assumptions!$E$16</f>
        <v/>
      </c>
      <c r="F24" s="16">
        <f>Assumptions!$B$44*Assumptions!$B$45*Assumptions!$F$16</f>
        <v/>
      </c>
      <c r="G24" s="16">
        <f>SUM(B24:F24)</f>
        <v/>
      </c>
      <c r="H24" s="7" t="inlineStr"/>
    </row>
    <row r="25">
      <c r="A25" s="5" t="inlineStr">
        <is>
          <t>One-time program (VCF)</t>
        </is>
      </c>
      <c r="B25" s="21">
        <f>OneTime!L23</f>
        <v/>
      </c>
      <c r="C25" s="21">
        <f>OneTime!M23</f>
        <v/>
      </c>
      <c r="D25" s="21">
        <f>OneTime!N23</f>
        <v/>
      </c>
      <c r="E25" s="21">
        <f>OneTime!O23</f>
        <v/>
      </c>
      <c r="F25" s="21">
        <f>OneTime!P23</f>
        <v/>
      </c>
      <c r="G25" s="16">
        <f>SUM(B25:F25)</f>
        <v/>
      </c>
      <c r="H25" s="7" t="inlineStr">
        <is>
          <t>OneTime VCF</t>
        </is>
      </c>
    </row>
    <row r="26">
      <c r="A26" s="5" t="inlineStr">
        <is>
          <t>Windows Server Datacenter + SA (common)</t>
        </is>
      </c>
      <c r="B26" s="16">
        <f>Assumptions!$B$49</f>
        <v/>
      </c>
      <c r="C26" s="16">
        <f>Assumptions!$B$49</f>
        <v/>
      </c>
      <c r="D26" s="16">
        <f>Assumptions!$B$49</f>
        <v/>
      </c>
      <c r="E26" s="16">
        <f>Assumptions!$B$49</f>
        <v/>
      </c>
      <c r="F26" s="16">
        <f>Assumptions!$B$49</f>
        <v/>
      </c>
      <c r="G26" s="16">
        <f>SUM(B26:F26)</f>
        <v/>
      </c>
      <c r="H26" s="7" t="inlineStr">
        <is>
          <t>Equal in all paths</t>
        </is>
      </c>
    </row>
    <row r="27">
      <c r="A27" s="5" t="inlineStr">
        <is>
          <t>RHEL (common)</t>
        </is>
      </c>
      <c r="B27" s="16">
        <f>Assumptions!$B$50</f>
        <v/>
      </c>
      <c r="C27" s="16">
        <f>Assumptions!$B$50</f>
        <v/>
      </c>
      <c r="D27" s="16">
        <f>Assumptions!$B$50</f>
        <v/>
      </c>
      <c r="E27" s="16">
        <f>Assumptions!$B$50</f>
        <v/>
      </c>
      <c r="F27" s="16">
        <f>Assumptions!$B$50</f>
        <v/>
      </c>
      <c r="G27" s="16">
        <f>SUM(B27:F27)</f>
        <v/>
      </c>
      <c r="H27" s="7" t="inlineStr">
        <is>
          <t>Equal</t>
        </is>
      </c>
    </row>
    <row r="28">
      <c r="A28" s="5" t="inlineStr">
        <is>
          <t>Veeam (common)</t>
        </is>
      </c>
      <c r="B28" s="16">
        <f>Assumptions!$B$51</f>
        <v/>
      </c>
      <c r="C28" s="16">
        <f>Assumptions!$B$51</f>
        <v/>
      </c>
      <c r="D28" s="16">
        <f>Assumptions!$B$51</f>
        <v/>
      </c>
      <c r="E28" s="16">
        <f>Assumptions!$B$51</f>
        <v/>
      </c>
      <c r="F28" s="16">
        <f>Assumptions!$B$51</f>
        <v/>
      </c>
      <c r="G28" s="16">
        <f>SUM(B28:F28)</f>
        <v/>
      </c>
      <c r="H28" s="7" t="inlineStr">
        <is>
          <t>Equal</t>
        </is>
      </c>
    </row>
    <row r="29">
      <c r="A29" s="5" t="inlineStr">
        <is>
          <t>Facilities (common)</t>
        </is>
      </c>
      <c r="B29" s="16">
        <f>Assumptions!$B$52</f>
        <v/>
      </c>
      <c r="C29" s="16">
        <f>Assumptions!$B$52</f>
        <v/>
      </c>
      <c r="D29" s="16">
        <f>Assumptions!$B$52</f>
        <v/>
      </c>
      <c r="E29" s="16">
        <f>Assumptions!$B$52</f>
        <v/>
      </c>
      <c r="F29" s="16">
        <f>Assumptions!$B$52</f>
        <v/>
      </c>
      <c r="G29" s="16">
        <f>SUM(B29:F29)</f>
        <v/>
      </c>
      <c r="H29" s="7" t="inlineStr">
        <is>
          <t>Equal</t>
        </is>
      </c>
    </row>
    <row r="30">
      <c r="A30" s="5" t="inlineStr">
        <is>
          <t>MRA resilience program, one-time (common)</t>
        </is>
      </c>
      <c r="B30" s="21">
        <f>OneTime!L22</f>
        <v/>
      </c>
      <c r="C30" s="21">
        <f>OneTime!M22</f>
        <v/>
      </c>
      <c r="D30" s="21">
        <f>OneTime!N22</f>
        <v/>
      </c>
      <c r="E30" s="21">
        <f>OneTime!O22</f>
        <v/>
      </c>
      <c r="F30" s="21">
        <f>OneTime!P22</f>
        <v/>
      </c>
      <c r="G30" s="16">
        <f>SUM(B30:F30)</f>
        <v/>
      </c>
      <c r="H30" s="7" t="inlineStr">
        <is>
          <t>OneTime ALL</t>
        </is>
      </c>
    </row>
    <row r="31">
      <c r="A31" s="5" t="inlineStr">
        <is>
          <t>NEW CAPABILITY: guest governance services</t>
        </is>
      </c>
      <c r="B31" s="16">
        <f>Assumptions!$B$40*Assumptions!$B$39*12*Assumptions!$B$14</f>
        <v/>
      </c>
      <c r="C31" s="16">
        <f>Assumptions!$B$40*Assumptions!$B$39*12*Assumptions!$C$14</f>
        <v/>
      </c>
      <c r="D31" s="16">
        <f>Assumptions!$B$40*Assumptions!$B$39*12*Assumptions!$D$14</f>
        <v/>
      </c>
      <c r="E31" s="16">
        <f>Assumptions!$B$40*Assumptions!$B$39*12*Assumptions!$E$14</f>
        <v/>
      </c>
      <c r="F31" s="16">
        <f>Assumptions!$B$40*Assumptions!$B$39*12*Assumptions!$F$14</f>
        <v/>
      </c>
      <c r="G31" s="16">
        <f>SUM(B31:F31)</f>
        <v/>
      </c>
      <c r="H31" s="7" t="inlineStr">
        <is>
          <t>$/server-mo × servers × 12</t>
        </is>
      </c>
    </row>
    <row r="32">
      <c r="A32" s="5" t="inlineStr">
        <is>
          <t>NEW CAPABILITY: Azure landing zone run</t>
        </is>
      </c>
      <c r="B32" s="16">
        <f>Assumptions!$B$41*Assumptions!$B$15</f>
        <v/>
      </c>
      <c r="C32" s="16">
        <f>Assumptions!$B$41*Assumptions!$C$15</f>
        <v/>
      </c>
      <c r="D32" s="16">
        <f>Assumptions!$B$41*Assumptions!$D$15</f>
        <v/>
      </c>
      <c r="E32" s="16">
        <f>Assumptions!$B$41*Assumptions!$E$15</f>
        <v/>
      </c>
      <c r="F32" s="16">
        <f>Assumptions!$B$41*Assumptions!$F$15</f>
        <v/>
      </c>
      <c r="G32" s="16">
        <f>SUM(B32:F32)</f>
        <v/>
      </c>
      <c r="H32" s="7" t="inlineStr"/>
    </row>
    <row r="33">
      <c r="A33" s="18" t="inlineStr">
        <is>
          <t>VCF PLATFORM TCO (excl. new capabilities)</t>
        </is>
      </c>
      <c r="B33" s="19">
        <f>B18+B19+B20+B21+B22+B23+B24+B25+B26+B27+B28+B29+B30</f>
        <v/>
      </c>
      <c r="C33" s="19">
        <f>C18+C19+C20+C21+C22+C23+C24+C25+C26+C27+C28+C29+C30</f>
        <v/>
      </c>
      <c r="D33" s="19">
        <f>D18+D19+D20+D21+D22+D23+D24+D25+D26+D27+D28+D29+D30</f>
        <v/>
      </c>
      <c r="E33" s="19">
        <f>E18+E19+E20+E21+E22+E23+E24+E25+E26+E27+E28+E29+E30</f>
        <v/>
      </c>
      <c r="F33" s="19">
        <f>F18+F19+F20+F21+F22+F23+F24+F25+F26+F27+F28+F29+F30</f>
        <v/>
      </c>
      <c r="G33" s="19">
        <f>G18+G19+G20+G21+G22+G23+G24+G25+G26+G27+G28+G29+G30</f>
        <v/>
      </c>
    </row>
    <row r="34">
      <c r="A34" s="18" t="inlineStr">
        <is>
          <t>VCF TRACK TOTAL</t>
        </is>
      </c>
      <c r="B34" s="19">
        <f>B33+B31+B32</f>
        <v/>
      </c>
      <c r="C34" s="19">
        <f>C33+C31+C32</f>
        <v/>
      </c>
      <c r="D34" s="19">
        <f>D33+D31+D32</f>
        <v/>
      </c>
      <c r="E34" s="19">
        <f>E33+E31+E32</f>
        <v/>
      </c>
      <c r="F34" s="19">
        <f>F33+F31+F32</f>
        <v/>
      </c>
      <c r="G34" s="19">
        <f>G33+G31+G32</f>
        <v/>
      </c>
    </row>
    <row r="36">
      <c r="A36" s="20" t="inlineStr">
        <is>
          <t>C. AZURE LOCAL + ARC — selected (Steps 7, 11, 12)</t>
        </is>
      </c>
      <c r="B36" s="20" t="n"/>
      <c r="C36" s="20" t="n"/>
      <c r="D36" s="20" t="n"/>
      <c r="E36" s="20" t="n"/>
      <c r="F36" s="20" t="n"/>
      <c r="G36" s="20" t="n"/>
      <c r="H36" s="20" t="n"/>
    </row>
    <row r="37">
      <c r="A37" s="5" t="inlineStr">
        <is>
          <t>VMware (current term + 15-month bridge at a premium)</t>
        </is>
      </c>
      <c r="B37" s="16">
        <f>Assumptions!$B$22/12*Assumptions!$B$6+Assumptions!$B$23*(1+Assumptions!$B$25)/12*Assumptions!$B$9</f>
        <v/>
      </c>
      <c r="C37" s="16">
        <f>Assumptions!$B$22/12*Assumptions!$C$6+Assumptions!$B$23*(1+Assumptions!$B$25)/12*Assumptions!$C$9</f>
        <v/>
      </c>
      <c r="D37" s="16">
        <f>Assumptions!$B$22/12*Assumptions!$D$6+Assumptions!$B$23*(1+Assumptions!$B$25)/12*Assumptions!$D$9</f>
        <v/>
      </c>
      <c r="E37" s="16">
        <f>Assumptions!$B$22/12*Assumptions!$E$6+Assumptions!$B$23*(1+Assumptions!$B$25)/12*Assumptions!$E$9</f>
        <v/>
      </c>
      <c r="F37" s="16">
        <f>Assumptions!$B$22/12*Assumptions!$F$6+Assumptions!$B$23*(1+Assumptions!$B$25)/12*Assumptions!$F$9</f>
        <v/>
      </c>
      <c r="G37" s="16">
        <f>SUM(B37:F37)</f>
        <v/>
      </c>
      <c r="H37" s="7" t="inlineStr">
        <is>
          <t>ADR-032</t>
        </is>
      </c>
    </row>
    <row r="38">
      <c r="A38" s="5" t="inlineStr">
        <is>
          <t>vDefend on Tier-0 hosts during the bridge</t>
        </is>
      </c>
      <c r="B38" s="16">
        <f>Assumptions!$B$26*Assumptions!$B$27*Assumptions!$B$18</f>
        <v/>
      </c>
      <c r="C38" s="16">
        <f>Assumptions!$B$26*Assumptions!$B$27*Assumptions!$C$18</f>
        <v/>
      </c>
      <c r="D38" s="16">
        <f>Assumptions!$B$26*Assumptions!$B$27*Assumptions!$D$18</f>
        <v/>
      </c>
      <c r="E38" s="16">
        <f>Assumptions!$B$26*Assumptions!$B$27*Assumptions!$E$18</f>
        <v/>
      </c>
      <c r="F38" s="16">
        <f>Assumptions!$B$26*Assumptions!$B$27*Assumptions!$F$18</f>
        <v/>
      </c>
      <c r="G38" s="16">
        <f>SUM(B38:F38)</f>
        <v/>
      </c>
      <c r="H38" s="7" t="inlineStr">
        <is>
          <t>ADR-033</t>
        </is>
      </c>
    </row>
    <row r="39">
      <c r="A39" s="5" t="inlineStr">
        <is>
          <t>Omnissa Horizon (until M14)</t>
        </is>
      </c>
      <c r="B39" s="16">
        <f>Assumptions!$B$29*Assumptions!$B$10</f>
        <v/>
      </c>
      <c r="C39" s="16">
        <f>Assumptions!$B$29*Assumptions!$C$10</f>
        <v/>
      </c>
      <c r="D39" s="16">
        <f>Assumptions!$B$29*Assumptions!$D$10</f>
        <v/>
      </c>
      <c r="E39" s="16">
        <f>Assumptions!$B$29*Assumptions!$E$10</f>
        <v/>
      </c>
      <c r="F39" s="16">
        <f>Assumptions!$B$29*Assumptions!$F$10</f>
        <v/>
      </c>
      <c r="G39" s="16">
        <f>SUM(B39:F39)</f>
        <v/>
      </c>
      <c r="H39" s="7" t="inlineStr"/>
    </row>
    <row r="40">
      <c r="A40" s="5" t="inlineStr">
        <is>
          <t>AVD on Azure Local service fee</t>
        </is>
      </c>
      <c r="B40" s="16">
        <f>Assumptions!$B$35*Assumptions!$B$36*8760*Assumptions!$B$11</f>
        <v/>
      </c>
      <c r="C40" s="16">
        <f>Assumptions!$B$35*Assumptions!$B$36*8760*Assumptions!$C$11</f>
        <v/>
      </c>
      <c r="D40" s="16">
        <f>Assumptions!$B$35*Assumptions!$B$36*8760*Assumptions!$D$11</f>
        <v/>
      </c>
      <c r="E40" s="16">
        <f>Assumptions!$B$35*Assumptions!$B$36*8760*Assumptions!$E$11</f>
        <v/>
      </c>
      <c r="F40" s="16">
        <f>Assumptions!$B$35*Assumptions!$B$36*8760*Assumptions!$F$11</f>
        <v/>
      </c>
      <c r="G40" s="16">
        <f>SUM(B40:F40)</f>
        <v/>
      </c>
      <c r="H40" s="7" t="inlineStr">
        <is>
          <t>vCPU × $/hr × 8,760 × share</t>
        </is>
      </c>
    </row>
    <row r="41">
      <c r="A41" s="5" t="inlineStr">
        <is>
          <t>Azure Local host fee net of Azure Hybrid Benefit</t>
        </is>
      </c>
      <c r="B41" s="16">
        <f>Assumptions!$B$32*Assumptions!$B$33*12*(1-Assumptions!$B$34)*0.3</f>
        <v/>
      </c>
      <c r="C41" s="16">
        <f>Assumptions!$B$32*Assumptions!$B$33*12*(1-Assumptions!$B$34)*0.8</f>
        <v/>
      </c>
      <c r="D41" s="16">
        <f>Assumptions!$B$32*Assumptions!$B$33*12*(1-Assumptions!$B$34)*1</f>
        <v/>
      </c>
      <c r="E41" s="16">
        <f>Assumptions!$B$32*Assumptions!$B$33*12*(1-Assumptions!$B$34)*1</f>
        <v/>
      </c>
      <c r="F41" s="16">
        <f>Assumptions!$B$32*Assumptions!$B$33*12*(1-Assumptions!$B$34)*1</f>
        <v/>
      </c>
      <c r="G41" s="16">
        <f>SUM(B41:F41)</f>
        <v/>
      </c>
      <c r="H41" s="7" t="inlineStr">
        <is>
          <t>$/core-mo × cores × 12 × uncovered share × estate share</t>
        </is>
      </c>
    </row>
    <row r="42">
      <c r="A42" s="5" t="inlineStr">
        <is>
          <t>Legacy hardware maintenance</t>
        </is>
      </c>
      <c r="B42" s="16">
        <f>Assumptions!$B$13</f>
        <v/>
      </c>
      <c r="C42" s="16">
        <f>Assumptions!$C$13</f>
        <v/>
      </c>
      <c r="D42" s="16">
        <f>Assumptions!$D$13</f>
        <v/>
      </c>
      <c r="E42" s="16">
        <f>Assumptions!$E$13</f>
        <v/>
      </c>
      <c r="F42" s="16">
        <f>Assumptions!$F$13</f>
        <v/>
      </c>
      <c r="G42" s="16">
        <f>SUM(B42:F42)</f>
        <v/>
      </c>
      <c r="H42" s="7" t="inlineStr">
        <is>
          <t>Timeline input</t>
        </is>
      </c>
    </row>
    <row r="43">
      <c r="A43" s="5" t="inlineStr">
        <is>
          <t>Azure Local nodes + reuse + G0 lab (capex)</t>
        </is>
      </c>
      <c r="B43" s="16">
        <f>Assumptions!$B$57*0.6+Assumptions!$B$58*0+Assumptions!$B$59*1</f>
        <v/>
      </c>
      <c r="C43" s="16">
        <f>Assumptions!$B$57*0.4+Assumptions!$B$58*1+Assumptions!$B$59*0</f>
        <v/>
      </c>
      <c r="D43" s="16">
        <f>Assumptions!$B$57*0+Assumptions!$B$58*0+Assumptions!$B$59*0</f>
        <v/>
      </c>
      <c r="E43" s="16">
        <f>Assumptions!$B$57*0+Assumptions!$B$58*0+Assumptions!$B$59*0</f>
        <v/>
      </c>
      <c r="F43" s="16">
        <f>Assumptions!$B$57*0+Assumptions!$B$58*0+Assumptions!$B$59*0</f>
        <v/>
      </c>
      <c r="G43" s="16">
        <f>SUM(B43:F43)</f>
        <v/>
      </c>
      <c r="H43" s="7" t="inlineStr">
        <is>
          <t>ADR-015, ADR-031</t>
        </is>
      </c>
    </row>
    <row r="44">
      <c r="A44" s="5" t="inlineStr">
        <is>
          <t>Added FTEs</t>
        </is>
      </c>
      <c r="B44" s="16">
        <f>Assumptions!$B$44*Assumptions!$B$46*Assumptions!$B$16</f>
        <v/>
      </c>
      <c r="C44" s="16">
        <f>Assumptions!$B$44*Assumptions!$B$46*Assumptions!$C$16</f>
        <v/>
      </c>
      <c r="D44" s="16">
        <f>Assumptions!$B$44*Assumptions!$B$46*Assumptions!$D$16</f>
        <v/>
      </c>
      <c r="E44" s="16">
        <f>Assumptions!$B$44*Assumptions!$B$46*Assumptions!$E$16</f>
        <v/>
      </c>
      <c r="F44" s="16">
        <f>Assumptions!$B$44*Assumptions!$B$46*Assumptions!$F$16</f>
        <v/>
      </c>
      <c r="G44" s="16">
        <f>SUM(B44:F44)</f>
        <v/>
      </c>
      <c r="H44" s="7" t="inlineStr"/>
    </row>
    <row r="45">
      <c r="A45" s="5" t="inlineStr">
        <is>
          <t>One-time program (AZ)</t>
        </is>
      </c>
      <c r="B45" s="21">
        <f>OneTime!L24</f>
        <v/>
      </c>
      <c r="C45" s="21">
        <f>OneTime!M24</f>
        <v/>
      </c>
      <c r="D45" s="21">
        <f>OneTime!N24</f>
        <v/>
      </c>
      <c r="E45" s="21">
        <f>OneTime!O24</f>
        <v/>
      </c>
      <c r="F45" s="21">
        <f>OneTime!P24</f>
        <v/>
      </c>
      <c r="G45" s="16">
        <f>SUM(B45:F45)</f>
        <v/>
      </c>
      <c r="H45" s="7" t="inlineStr">
        <is>
          <t>OneTime AZ</t>
        </is>
      </c>
    </row>
    <row r="46">
      <c r="A46" s="5" t="inlineStr">
        <is>
          <t>Windows Server Datacenter + SA (common)</t>
        </is>
      </c>
      <c r="B46" s="16">
        <f>Assumptions!$B$49</f>
        <v/>
      </c>
      <c r="C46" s="16">
        <f>Assumptions!$B$49</f>
        <v/>
      </c>
      <c r="D46" s="16">
        <f>Assumptions!$B$49</f>
        <v/>
      </c>
      <c r="E46" s="16">
        <f>Assumptions!$B$49</f>
        <v/>
      </c>
      <c r="F46" s="16">
        <f>Assumptions!$B$49</f>
        <v/>
      </c>
      <c r="G46" s="16">
        <f>SUM(B46:F46)</f>
        <v/>
      </c>
      <c r="H46" s="7" t="inlineStr">
        <is>
          <t>Equal in all paths</t>
        </is>
      </c>
    </row>
    <row r="47">
      <c r="A47" s="5" t="inlineStr">
        <is>
          <t>RHEL (common)</t>
        </is>
      </c>
      <c r="B47" s="16">
        <f>Assumptions!$B$50</f>
        <v/>
      </c>
      <c r="C47" s="16">
        <f>Assumptions!$B$50</f>
        <v/>
      </c>
      <c r="D47" s="16">
        <f>Assumptions!$B$50</f>
        <v/>
      </c>
      <c r="E47" s="16">
        <f>Assumptions!$B$50</f>
        <v/>
      </c>
      <c r="F47" s="16">
        <f>Assumptions!$B$50</f>
        <v/>
      </c>
      <c r="G47" s="16">
        <f>SUM(B47:F47)</f>
        <v/>
      </c>
      <c r="H47" s="7" t="inlineStr">
        <is>
          <t>Equal</t>
        </is>
      </c>
    </row>
    <row r="48">
      <c r="A48" s="5" t="inlineStr">
        <is>
          <t>Veeam (common)</t>
        </is>
      </c>
      <c r="B48" s="16">
        <f>Assumptions!$B$51</f>
        <v/>
      </c>
      <c r="C48" s="16">
        <f>Assumptions!$B$51</f>
        <v/>
      </c>
      <c r="D48" s="16">
        <f>Assumptions!$B$51</f>
        <v/>
      </c>
      <c r="E48" s="16">
        <f>Assumptions!$B$51</f>
        <v/>
      </c>
      <c r="F48" s="16">
        <f>Assumptions!$B$51</f>
        <v/>
      </c>
      <c r="G48" s="16">
        <f>SUM(B48:F48)</f>
        <v/>
      </c>
      <c r="H48" s="7" t="inlineStr">
        <is>
          <t>Equal</t>
        </is>
      </c>
    </row>
    <row r="49">
      <c r="A49" s="5" t="inlineStr">
        <is>
          <t>Facilities (common)</t>
        </is>
      </c>
      <c r="B49" s="16">
        <f>Assumptions!$B$52</f>
        <v/>
      </c>
      <c r="C49" s="16">
        <f>Assumptions!$B$52</f>
        <v/>
      </c>
      <c r="D49" s="16">
        <f>Assumptions!$B$52</f>
        <v/>
      </c>
      <c r="E49" s="16">
        <f>Assumptions!$B$52</f>
        <v/>
      </c>
      <c r="F49" s="16">
        <f>Assumptions!$B$52</f>
        <v/>
      </c>
      <c r="G49" s="16">
        <f>SUM(B49:F49)</f>
        <v/>
      </c>
      <c r="H49" s="7" t="inlineStr">
        <is>
          <t>Equal</t>
        </is>
      </c>
    </row>
    <row r="50">
      <c r="A50" s="5" t="inlineStr">
        <is>
          <t>MRA resilience program, one-time (common)</t>
        </is>
      </c>
      <c r="B50" s="21">
        <f>OneTime!L22</f>
        <v/>
      </c>
      <c r="C50" s="21">
        <f>OneTime!M22</f>
        <v/>
      </c>
      <c r="D50" s="21">
        <f>OneTime!N22</f>
        <v/>
      </c>
      <c r="E50" s="21">
        <f>OneTime!O22</f>
        <v/>
      </c>
      <c r="F50" s="21">
        <f>OneTime!P22</f>
        <v/>
      </c>
      <c r="G50" s="16">
        <f>SUM(B50:F50)</f>
        <v/>
      </c>
      <c r="H50" s="7" t="inlineStr">
        <is>
          <t>OneTime ALL</t>
        </is>
      </c>
    </row>
    <row r="51">
      <c r="A51" s="5" t="inlineStr">
        <is>
          <t>NEW CAPABILITY: guest governance services</t>
        </is>
      </c>
      <c r="B51" s="16">
        <f>Assumptions!$B$40*Assumptions!$B$39*12*Assumptions!$B$14</f>
        <v/>
      </c>
      <c r="C51" s="16">
        <f>Assumptions!$B$40*Assumptions!$B$39*12*Assumptions!$C$14</f>
        <v/>
      </c>
      <c r="D51" s="16">
        <f>Assumptions!$B$40*Assumptions!$B$39*12*Assumptions!$D$14</f>
        <v/>
      </c>
      <c r="E51" s="16">
        <f>Assumptions!$B$40*Assumptions!$B$39*12*Assumptions!$E$14</f>
        <v/>
      </c>
      <c r="F51" s="16">
        <f>Assumptions!$B$40*Assumptions!$B$39*12*Assumptions!$F$14</f>
        <v/>
      </c>
      <c r="G51" s="16">
        <f>SUM(B51:F51)</f>
        <v/>
      </c>
      <c r="H51" s="7" t="inlineStr">
        <is>
          <t>Same as VCF track</t>
        </is>
      </c>
    </row>
    <row r="52">
      <c r="A52" s="5" t="inlineStr">
        <is>
          <t>NEW CAPABILITY: Azure landing zone run</t>
        </is>
      </c>
      <c r="B52" s="16">
        <f>Assumptions!$B$41*Assumptions!$B$15</f>
        <v/>
      </c>
      <c r="C52" s="16">
        <f>Assumptions!$B$41*Assumptions!$C$15</f>
        <v/>
      </c>
      <c r="D52" s="16">
        <f>Assumptions!$B$41*Assumptions!$D$15</f>
        <v/>
      </c>
      <c r="E52" s="16">
        <f>Assumptions!$B$41*Assumptions!$E$15</f>
        <v/>
      </c>
      <c r="F52" s="16">
        <f>Assumptions!$B$41*Assumptions!$F$15</f>
        <v/>
      </c>
      <c r="G52" s="16">
        <f>SUM(B52:F52)</f>
        <v/>
      </c>
      <c r="H52" s="7" t="inlineStr">
        <is>
          <t>Same as VCF track</t>
        </is>
      </c>
    </row>
    <row r="53">
      <c r="A53" s="18" t="inlineStr">
        <is>
          <t>AZURE PLATFORM TCO (excl. new capabilities)</t>
        </is>
      </c>
      <c r="B53" s="19">
        <f>B37+B38+B39+B40+B41+B42+B43+B44+B45+B46+B47+B48+B49+B50</f>
        <v/>
      </c>
      <c r="C53" s="19">
        <f>C37+C38+C39+C40+C41+C42+C43+C44+C45+C46+C47+C48+C49+C50</f>
        <v/>
      </c>
      <c r="D53" s="19">
        <f>D37+D38+D39+D40+D41+D42+D43+D44+D45+D46+D47+D48+D49+D50</f>
        <v/>
      </c>
      <c r="E53" s="19">
        <f>E37+E38+E39+E40+E41+E42+E43+E44+E45+E46+E47+E48+E49+E50</f>
        <v/>
      </c>
      <c r="F53" s="19">
        <f>F37+F38+F39+F40+F41+F42+F43+F44+F45+F46+F47+F48+F49+F50</f>
        <v/>
      </c>
      <c r="G53" s="19">
        <f>G37+G38+G39+G40+G41+G42+G43+G44+G45+G46+G47+G48+G49+G50</f>
        <v/>
      </c>
    </row>
    <row r="54">
      <c r="A54" s="18" t="inlineStr">
        <is>
          <t>AZURE TRACK TOTAL</t>
        </is>
      </c>
      <c r="B54" s="19">
        <f>B53+B51+B52</f>
        <v/>
      </c>
      <c r="C54" s="19">
        <f>C53+C51+C52</f>
        <v/>
      </c>
      <c r="D54" s="19">
        <f>D53+D51+D52</f>
        <v/>
      </c>
      <c r="E54" s="19">
        <f>E53+E51+E52</f>
        <v/>
      </c>
      <c r="F54" s="19">
        <f>F53+F51+F52</f>
        <v/>
      </c>
      <c r="G54" s="19">
        <f>G53+G51+G52</f>
        <v/>
      </c>
    </row>
    <row r="56">
      <c r="A56" s="20" t="inlineStr">
        <is>
          <t>Comparisons</t>
        </is>
      </c>
      <c r="B56" s="20" t="n"/>
      <c r="C56" s="20" t="n"/>
      <c r="D56" s="20" t="n"/>
      <c r="E56" s="20" t="n"/>
      <c r="F56" s="20" t="n"/>
      <c r="G56" s="20" t="n"/>
      <c r="H56" s="20" t="n"/>
    </row>
    <row r="57">
      <c r="A57" s="22" t="inlineStr">
        <is>
          <t>Status quo − Azure platform TCO (NFR-10 margin; positive = Azure cheaper)</t>
        </is>
      </c>
      <c r="B57" s="19">
        <f>B15-B53</f>
        <v/>
      </c>
      <c r="C57" s="19">
        <f>C15-C53</f>
        <v/>
      </c>
      <c r="D57" s="19">
        <f>D15-D53</f>
        <v/>
      </c>
      <c r="E57" s="19">
        <f>E15-E53</f>
        <v/>
      </c>
      <c r="F57" s="19">
        <f>F15-F53</f>
        <v/>
      </c>
      <c r="G57" s="19">
        <f>G15-G53</f>
        <v/>
      </c>
    </row>
    <row r="58">
      <c r="A58" s="22" t="inlineStr">
        <is>
          <t>VCF track − Azure track (positive = Azure cheaper)</t>
        </is>
      </c>
      <c r="B58" s="19">
        <f>B34-B54</f>
        <v/>
      </c>
      <c r="C58" s="19">
        <f>C34-C54</f>
        <v/>
      </c>
      <c r="D58" s="19">
        <f>D34-D54</f>
        <v/>
      </c>
      <c r="E58" s="19">
        <f>E34-E54</f>
        <v/>
      </c>
      <c r="F58" s="19">
        <f>F34-F54</f>
        <v/>
      </c>
      <c r="G58" s="19">
        <f>G34-G54</f>
        <v/>
      </c>
    </row>
    <row r="59">
      <c r="A59" s="22" t="inlineStr">
        <is>
          <t>Cumulative NFR-10 margin</t>
        </is>
      </c>
      <c r="B59" s="23">
        <f>B57</f>
        <v/>
      </c>
      <c r="C59" s="23">
        <f>B59+C57</f>
        <v/>
      </c>
      <c r="D59" s="23">
        <f>C59+D57</f>
        <v/>
      </c>
      <c r="E59" s="23">
        <f>D59+E57</f>
        <v/>
      </c>
      <c r="F59" s="23">
        <f>E59+F57</f>
        <v/>
      </c>
    </row>
    <row r="61">
      <c r="A61" s="22" t="inlineStr">
        <is>
          <t>Steady-state recurring run-rate, Y5 (excl. capex and one-time)</t>
        </is>
      </c>
    </row>
    <row r="62">
      <c r="A62" s="5" t="inlineStr">
        <is>
          <t xml:space="preserve">  Status quo</t>
        </is>
      </c>
      <c r="F62" s="19">
        <f>F15-F9-F14</f>
        <v/>
      </c>
    </row>
    <row r="63">
      <c r="A63" s="5" t="inlineStr">
        <is>
          <t xml:space="preserve">  VCF track</t>
        </is>
      </c>
      <c r="F63" s="19">
        <f>F34-F23-F25-F30</f>
        <v/>
      </c>
    </row>
    <row r="64">
      <c r="A64" s="5" t="inlineStr">
        <is>
          <t xml:space="preserve">  Azure track</t>
        </is>
      </c>
      <c r="F64" s="19">
        <f>F54-F43-F45-F50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74" customWidth="1" min="1" max="1"/>
    <col width="18" customWidth="1" min="2" max="2"/>
    <col width="24" customWidth="1" min="3" max="3"/>
    <col width="62" customWidth="1" min="4" max="4"/>
  </cols>
  <sheetData>
    <row r="1">
      <c r="A1" s="1" t="inlineStr">
        <is>
          <t>Gate G0-2: Broadcom Threshold Price, NFR-10 Test, and Azure Hybrid Benefit Sensitivity</t>
        </is>
      </c>
    </row>
    <row r="3">
      <c r="A3" s="4" t="inlineStr">
        <is>
          <t>Test</t>
        </is>
      </c>
      <c r="B3" s="4" t="inlineStr">
        <is>
          <t>Value</t>
        </is>
      </c>
      <c r="C3" s="4" t="inlineStr">
        <is>
          <t>Result</t>
        </is>
      </c>
      <c r="D3" s="4" t="inlineStr">
        <is>
          <t>Basis</t>
        </is>
      </c>
    </row>
    <row r="4">
      <c r="A4" s="20" t="inlineStr">
        <is>
          <t>1. NFR-10: Azure platform TCO ≤ status quo (5 years)</t>
        </is>
      </c>
      <c r="B4" s="20" t="n"/>
      <c r="C4" s="20" t="n"/>
      <c r="D4" s="20" t="n"/>
    </row>
    <row r="5">
      <c r="A5" s="5" t="inlineStr">
        <is>
          <t>Status quo 5-yr TCO</t>
        </is>
      </c>
      <c r="B5" s="16">
        <f>FiveYearTCO!G15</f>
        <v/>
      </c>
      <c r="C5" s="22" t="n"/>
      <c r="D5" s="7" t="inlineStr">
        <is>
          <t>FiveYearTCO</t>
        </is>
      </c>
    </row>
    <row r="6">
      <c r="A6" s="5" t="inlineStr">
        <is>
          <t>Azure platform 5-yr TCO (excl. new capabilities)</t>
        </is>
      </c>
      <c r="B6" s="16">
        <f>FiveYearTCO!G53</f>
        <v/>
      </c>
      <c r="C6" s="18">
        <f>IF(B6&lt;=B5,"PASS","FAIL")</f>
        <v/>
      </c>
      <c r="D6" s="7" t="inlineStr">
        <is>
          <t>FiveYearTCO</t>
        </is>
      </c>
    </row>
    <row r="7">
      <c r="A7" s="5" t="inlineStr">
        <is>
          <t>Margin</t>
        </is>
      </c>
      <c r="B7" s="16">
        <f>B5-B6</f>
        <v/>
      </c>
      <c r="C7" s="22" t="n"/>
      <c r="D7" s="7" t="inlineStr"/>
    </row>
    <row r="8">
      <c r="A8" s="5" t="inlineStr">
        <is>
          <t>Steady-state run-rate saving, Y5 (status quo − Azure)</t>
        </is>
      </c>
      <c r="B8" s="16">
        <f>FiveYearTCO!$F$62-FiveYearTCO!$F$64</f>
        <v/>
      </c>
      <c r="C8" s="22" t="n"/>
      <c r="D8" s="7" t="inlineStr">
        <is>
          <t>Recurring only</t>
        </is>
      </c>
    </row>
    <row r="10">
      <c r="A10" s="20" t="inlineStr">
        <is>
          <t>2. Azure Hybrid Benefit sensitivity (verify at G0-2)</t>
        </is>
      </c>
      <c r="B10" s="20" t="n"/>
      <c r="C10" s="20" t="n"/>
      <c r="D10" s="20" t="n"/>
    </row>
    <row r="11">
      <c r="A11" s="5" t="inlineStr">
        <is>
          <t>Extra 5-yr host fees if Hybrid Benefit covered 0% of cores</t>
        </is>
      </c>
      <c r="B11" s="16">
        <f>Assumptions!$B$32*Assumptions!$B$33*12*(0.3+0.8+1+1+1)*Assumptions!$B$34</f>
        <v/>
      </c>
      <c r="C11" s="22" t="n"/>
      <c r="D11" s="7" t="inlineStr">
        <is>
          <t>Fees currently waived × estate ramp</t>
        </is>
      </c>
    </row>
    <row r="12">
      <c r="A12" s="5" t="inlineStr">
        <is>
          <t>NFR-10 margin with 0% Hybrid Benefit</t>
        </is>
      </c>
      <c r="B12" s="16">
        <f>B7-B11</f>
        <v/>
      </c>
      <c r="C12" s="18">
        <f>IF(B12&gt;=0,"still PASS","FAILS")</f>
        <v/>
      </c>
      <c r="D12" s="7" t="inlineStr"/>
    </row>
    <row r="14">
      <c r="A14" s="20" t="inlineStr">
        <is>
          <t>3. Gate G0-2: the renewal price at which VCF would win</t>
        </is>
      </c>
      <c r="B14" s="20" t="n"/>
      <c r="C14" s="20" t="n"/>
      <c r="D14" s="20" t="n"/>
    </row>
    <row r="15">
      <c r="A15" s="5" t="inlineStr">
        <is>
          <t>VCF track − Azure track, 5-yr, at the quote (G)</t>
        </is>
      </c>
      <c r="B15" s="16">
        <f>FiveYearTCO!G34-FiveYearTCO!G54</f>
        <v/>
      </c>
      <c r="C15" s="22" t="n"/>
      <c r="D15" s="7" t="inlineStr">
        <is>
          <t>Both include the same new capabilities</t>
        </is>
      </c>
    </row>
    <row r="16">
      <c r="A16" s="5" t="inlineStr">
        <is>
          <t>VCF-track sensitivity to the renewal price (years-equivalent)</t>
        </is>
      </c>
      <c r="B16" s="24">
        <f>(SUM(Assumptions!$B$7:$F$7)+SUM(Assumptions!$B$8:$F$8)*(1+Assumptions!$B$24))/12</f>
        <v/>
      </c>
      <c r="C16" s="22" t="n"/>
      <c r="D16" s="7" t="inlineStr">
        <is>
          <t>Δ5-yr TCO per $1 of annual price</t>
        </is>
      </c>
    </row>
    <row r="17">
      <c r="A17" s="5" t="inlineStr">
        <is>
          <t>Azure-track sensitivity (bridge months at premium)</t>
        </is>
      </c>
      <c r="B17" s="24">
        <f>SUM(Assumptions!$B$9:$F$9)*(1+Assumptions!$B$25)/12</f>
        <v/>
      </c>
      <c r="C17" s="22" t="n"/>
      <c r="D17" s="7" t="inlineStr">
        <is>
          <t>The bridge is priced off the same quote</t>
        </is>
      </c>
    </row>
    <row r="18">
      <c r="A18" s="5" t="inlineStr">
        <is>
          <t>Share of the cost gap VCF must close to reach the flip score</t>
        </is>
      </c>
      <c r="B18" s="17">
        <f>(Assumptions!$B$64-Assumptions!$B$63)/(Assumptions!$B$62-Assumptions!$B$63)</f>
        <v/>
      </c>
      <c r="C18" s="22" t="n"/>
      <c r="D18" s="7" t="inlineStr">
        <is>
          <t>Linear score ↔ TCO mapping: (3.5 − 2) ÷ (4.5 − 2)</t>
        </is>
      </c>
    </row>
    <row r="19">
      <c r="A19" s="22" t="inlineStr">
        <is>
          <t>THRESHOLD: annual VCF price at which the decision flips (cost score 3.5)</t>
        </is>
      </c>
      <c r="B19" s="25">
        <f>Assumptions!$B$23-B18*B15/(B16-B17)</f>
        <v/>
      </c>
      <c r="C19" s="22" t="n"/>
      <c r="D19" s="7" t="inlineStr">
        <is>
          <t>If Broadcom's best 3-yr offer is BELOW this, G0-2 reverses ADR-031 to VCF</t>
        </is>
      </c>
    </row>
    <row r="20">
      <c r="A20" s="5" t="inlineStr">
        <is>
          <t xml:space="preserve">  discount from the quote</t>
        </is>
      </c>
      <c r="B20" s="17">
        <f>1-B19/Assumptions!$B$23</f>
        <v/>
      </c>
      <c r="C20" s="22" t="n"/>
      <c r="D20" s="7" t="inlineStr"/>
    </row>
    <row r="21">
      <c r="A21" s="5" t="inlineStr">
        <is>
          <t>Parity price (5-yr TCO equal)</t>
        </is>
      </c>
      <c r="B21" s="16">
        <f>Assumptions!$B$23-B15/(B16-B17)</f>
        <v/>
      </c>
      <c r="C21" s="22" t="n"/>
      <c r="D21" s="7" t="inlineStr"/>
    </row>
    <row r="22">
      <c r="A22" s="5" t="inlineStr">
        <is>
          <t xml:space="preserve">  discount from the quote</t>
        </is>
      </c>
      <c r="B22" s="17">
        <f>1-B21/Assumptions!$B$23</f>
        <v/>
      </c>
      <c r="C22" s="22" t="n"/>
      <c r="D22" s="7" t="inlineStr"/>
    </row>
    <row r="24">
      <c r="A24" s="20" t="inlineStr">
        <is>
          <t>4. Oracle consolidation lever (platform-neutral; not in the path totals)</t>
        </is>
      </c>
      <c r="B24" s="20" t="n"/>
      <c r="C24" s="20" t="n"/>
      <c r="D24" s="20" t="n"/>
    </row>
    <row r="25">
      <c r="A25" s="5" t="inlineStr">
        <is>
          <t>Processor licences today</t>
        </is>
      </c>
      <c r="B25" s="26">
        <f>Assumptions!$B$67*Assumptions!$B$69</f>
        <v/>
      </c>
      <c r="C25" s="22" t="n"/>
      <c r="D25" s="7" t="inlineStr">
        <is>
          <t>cores × core factor</t>
        </is>
      </c>
    </row>
    <row r="26">
      <c r="A26" s="5" t="inlineStr">
        <is>
          <t>Processor licences after consolidation</t>
        </is>
      </c>
      <c r="B26" s="26">
        <f>Assumptions!$B$68*Assumptions!$B$69</f>
        <v/>
      </c>
      <c r="C26" s="22" t="n"/>
      <c r="D26" s="7" t="inlineStr"/>
    </row>
    <row r="27">
      <c r="A27" s="5" t="inlineStr">
        <is>
          <t>Potential annual support saving</t>
        </is>
      </c>
      <c r="B27" s="16">
        <f>(B25-B26)*Assumptions!$B$70</f>
        <v/>
      </c>
      <c r="C27" s="22" t="n"/>
      <c r="D27" s="7" t="inlineStr">
        <is>
          <t>Realizable only if licences are terminated — subject to Oracle's repricing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2026-09-27T01:55:35Z</dcterms:created>
  <dcterms:modified xmlns:dcterms="http://purl.org/dc/terms/" xmlns:xsi="http://www.w3.org/2001/XMLSchema-instance" xsi:type="dcterms:W3CDTF">2026-09-27T01:55:35Z</dcterms:modified>
</cp:coreProperties>
</file>