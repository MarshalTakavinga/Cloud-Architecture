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loudRunRate" sheetId="2" state="visible" r:id="rId4"/>
    <sheet name="OneTime" sheetId="3" state="visible" r:id="rId5"/>
    <sheet name="FiveYearTCO" sheetId="4" state="visible" r:id="rId6"/>
    <sheet name="TriggerTe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<sst xmlns="http://schemas.openxmlformats.org/spreadsheetml/2006/main" count="324" uniqueCount="254">
  <si>
    <t xml:space="preserve">Kestrel Industrial Components — TCO Assumptions (ILLUSTRATIVE)</t>
  </si>
  <si>
    <t xml:space="preserve">Legend: blue = input you can change · black = formula · green = link to another sheet · yellow fill = quote-based or key assumption to replace with a real quote. Year 1 = Oct 2026–Sep 2027 (M1–M12).</t>
  </si>
  <si>
    <t xml:space="preserve">Rollout ramp and value phasing</t>
  </si>
  <si>
    <t xml:space="preserve">Driver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</si>
  <si>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</si>
  <si>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</si>
  <si>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</si>
  <si>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</si>
  <si>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</si>
  <si>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Basis</t>
  </si>
  <si>
    <t xml:space="preserve">Plants with edge platform live (plant-years)</t>
  </si>
  <si>
    <t xml:space="preserve">Roadmap: pilot Plant 06 from M5 + OEM wave from M9 ≈ 2 plant-years in Y1; all 12 live by M20 (docs/migration-roadmap.md)</t>
  </si>
  <si>
    <t xml:space="preserve">Unplanned-downtime reduction achieved</t>
  </si>
  <si>
    <t xml:space="preserve">Driver 2 target −30% measured at M24 (end Y2); Y2 is a ramp year. Assumption, not a forecast</t>
  </si>
  <si>
    <t xml:space="preserve">Insurer interim uplift avoided (1 = yes)</t>
  </si>
  <si>
    <t xml:space="preserve">Full renewal July 2027 (M10) removes the +40% interim uplift from Y2 onward (ADR-025 staged acceptance)</t>
  </si>
  <si>
    <t xml:space="preserve">Targeted containment available (1 = yes)</t>
  </si>
  <si>
    <t xml:space="preserve">OEM-plant genealogy production-ready M14 (Nov 2027) → benefit from Y2</t>
  </si>
  <si>
    <t xml:space="preserve">Fleet</t>
  </si>
  <si>
    <t xml:space="preserve">Input</t>
  </si>
  <si>
    <t xml:space="preserve">Value</t>
  </si>
  <si>
    <t xml:space="preserve">Unit</t>
  </si>
  <si>
    <t xml:space="preserve">Basis / source</t>
  </si>
  <si>
    <t xml:space="preserve">Plants</t>
  </si>
  <si>
    <t xml:space="preserve">plants</t>
  </si>
  <si>
    <t xml:space="preserve">problem-statement.md</t>
  </si>
  <si>
    <t xml:space="preserve">Edge nodes per plant (GDC cluster)</t>
  </si>
  <si>
    <t xml:space="preserve">nodes</t>
  </si>
  <si>
    <t xml:space="preserve">ADR-018: 3-node HA cluster (Azure track also 3, ADR-006)</t>
  </si>
  <si>
    <t xml:space="preserve">Licensed vCPU per edge node</t>
  </si>
  <si>
    <t xml:space="preserve">vCPU</t>
  </si>
  <si>
    <t xml:space="preserve">gcp-implementation.md edge sizing (16-core servers)</t>
  </si>
  <si>
    <t xml:space="preserve">Edge platform (GCP track) — recurring</t>
  </si>
  <si>
    <t xml:space="preserve">Edge server, per node (capex)</t>
  </si>
  <si>
    <t xml:space="preserve">$ / node</t>
  </si>
  <si>
    <t xml:space="preserve">Illustrative industrial server 16c/64GB/2×1.92TB NVMe</t>
  </si>
  <si>
    <t xml:space="preserve">GDC software licence</t>
  </si>
  <si>
    <t xml:space="preserve">$ / vCPU-month</t>
  </si>
  <si>
    <t xml:space="preserve">ILLUSTRATIVE — based on historical GKE Enterprise/Anthos per-vCPU list pricing; replace with Google quote</t>
  </si>
  <si>
    <t xml:space="preserve">Manufacturing Connect edge instances</t>
  </si>
  <si>
    <t xml:space="preserve">instances</t>
  </si>
  <si>
    <t xml:space="preserve">ADR-018: ~10K tags per instance → 2 at larger plants</t>
  </si>
  <si>
    <t xml:space="preserve">Manufacturing Connect edge licence</t>
  </si>
  <si>
    <t xml:space="preserve">$ / instance-yr</t>
  </si>
  <si>
    <t xml:space="preserve">ILLUSTRATIVE — sold by Litmus via Marketplace, quote-based</t>
  </si>
  <si>
    <t xml:space="preserve">Commercial MQTT broker licence</t>
  </si>
  <si>
    <t xml:space="preserve">$ / plant-yr</t>
  </si>
  <si>
    <t xml:space="preserve">ILLUSTRATIVE — clustered HiveMQ/EMQX-class broker, quote-based</t>
  </si>
  <si>
    <t xml:space="preserve">Edge managed-service provider (ADR-024 cond. 2)</t>
  </si>
  <si>
    <t xml:space="preserve">$ / plant-month</t>
  </si>
  <si>
    <t xml:space="preserve">ILLUSTRATIVE — 24×7 edge operations covering GDC + MCe + broker</t>
  </si>
  <si>
    <t xml:space="preserve">Security track — recurring (platform-independent)</t>
  </si>
  <si>
    <t xml:space="preserve">Secure remote access (brokered, MFA)</t>
  </si>
  <si>
    <t xml:space="preserve">ILLUSTRATIVE — ADR-003</t>
  </si>
  <si>
    <t xml:space="preserve">Passive OT network monitoring</t>
  </si>
  <si>
    <t xml:space="preserve">Managed OT security monitoring (alert destination)</t>
  </si>
  <si>
    <t xml:space="preserve">$ / yr</t>
  </si>
  <si>
    <t xml:space="preserve">ILLUSTRATIVE — ADR-003 consequence (no internal OT-security function)</t>
  </si>
  <si>
    <t xml:space="preserve">Ramos Arizpe second WAN circuit</t>
  </si>
  <si>
    <t xml:space="preserve">ILLUSTRATIVE — ADR-006/ADR-025 WAN resilience</t>
  </si>
  <si>
    <t xml:space="preserve">Cloud (GCP) — volume drivers and prices</t>
  </si>
  <si>
    <t xml:space="preserve">Telemetry values per second (full fleet)</t>
  </si>
  <si>
    <t xml:space="preserve">values/s</t>
  </si>
  <si>
    <t xml:space="preserve">NFR-3</t>
  </si>
  <si>
    <t xml:space="preserve">Bytes per value on the wire (incl. envelope)</t>
  </si>
  <si>
    <t xml:space="preserve">bytes</t>
  </si>
  <si>
    <t xml:space="preserve">Assumption: batched Sparkplug B/JSON with headers</t>
  </si>
  <si>
    <t xml:space="preserve">Pub/Sub billable passes (1 publish + subscriptions)</t>
  </si>
  <si>
    <t xml:space="preserve">×</t>
  </si>
  <si>
    <t xml:space="preserve">1 publish + MDE + hot path + archive subscriptions</t>
  </si>
  <si>
    <t xml:space="preserve">Pub/Sub throughput price</t>
  </si>
  <si>
    <t xml:space="preserve">$ / TiB</t>
  </si>
  <si>
    <t xml:space="preserve">ILLUSTRATIVE list-price basis; confirm in pricing calculator</t>
  </si>
  <si>
    <t xml:space="preserve">Dataflow streaming workers (US + EU)</t>
  </si>
  <si>
    <t xml:space="preserve">workers</t>
  </si>
  <si>
    <t xml:space="preserve">MDE pipeline + hot path, two regions</t>
  </si>
  <si>
    <t xml:space="preserve">Dataflow cost per worker-hour (incl. streaming engine)</t>
  </si>
  <si>
    <t xml:space="preserve">$ / hr</t>
  </si>
  <si>
    <t xml:space="preserve">ILLUSTRATIVE</t>
  </si>
  <si>
    <t xml:space="preserve">Bigtable nodes (US 3 + EU 1)</t>
  </si>
  <si>
    <t xml:space="preserve">ADR-021</t>
  </si>
  <si>
    <t xml:space="preserve">Bigtable node price</t>
  </si>
  <si>
    <t xml:space="preserve">$ / node-hr</t>
  </si>
  <si>
    <t xml:space="preserve">ILLUSTRATIVE list-price basis</t>
  </si>
  <si>
    <t xml:space="preserve">Bigtable hot storage (90 days)</t>
  </si>
  <si>
    <t xml:space="preserve">TB</t>
  </si>
  <si>
    <t xml:space="preserve">~5.2B values/day × 90 days × ~10 B compressed</t>
  </si>
  <si>
    <t xml:space="preserve">Bigtable SSD storage price</t>
  </si>
  <si>
    <t xml:space="preserve">$ / GB-month</t>
  </si>
  <si>
    <t xml:space="preserve">BigQuery (storage + queries, both regions)</t>
  </si>
  <si>
    <t xml:space="preserve">Cloud SQL Enterprise Plus HA (2 regions)</t>
  </si>
  <si>
    <t xml:space="preserve">ILLUSTRATIVE — ADR-022</t>
  </si>
  <si>
    <t xml:space="preserve">Vertex AI (training + online endpoints)</t>
  </si>
  <si>
    <t xml:space="preserve">Looker licences</t>
  </si>
  <si>
    <t xml:space="preserve">ILLUSTRATIVE — quote-based</t>
  </si>
  <si>
    <t xml:space="preserve">HA VPN tunnels + egress</t>
  </si>
  <si>
    <t xml:space="preserve">ILLUSTRATIVE — ADR-023</t>
  </si>
  <si>
    <t xml:space="preserve">Cloud Logging / Monitoring</t>
  </si>
  <si>
    <t xml:space="preserve">Cloud Storage (Bucket Lock archive, evidence project)</t>
  </si>
  <si>
    <t xml:space="preserve">ILLUSTRATIVE — ADR-022, ADR-024 cond. 1</t>
  </si>
  <si>
    <t xml:space="preserve">Value case</t>
  </si>
  <si>
    <t xml:space="preserve">Current annual cost of unplanned downtime</t>
  </si>
  <si>
    <t xml:space="preserve">problem-statement.md (Finance estimate)</t>
  </si>
  <si>
    <t xml:space="preserve">Base cyber-insurance premium</t>
  </si>
  <si>
    <t xml:space="preserve">ILLUSTRATIVE — not stated in problem-statement.md</t>
  </si>
  <si>
    <t xml:space="preserve">Interim premium uplift</t>
  </si>
  <si>
    <t xml:space="preserve">%</t>
  </si>
  <si>
    <t xml:space="preserve">problem-statement.md (+~40% interim)</t>
  </si>
  <si>
    <t xml:space="preserve">Field containment events per year</t>
  </si>
  <si>
    <t xml:space="preserve">events / yr</t>
  </si>
  <si>
    <t xml:space="preserve">ILLUSTRATIVE — one every two years</t>
  </si>
  <si>
    <t xml:space="preserve">Parts contained without serial genealogy</t>
  </si>
  <si>
    <t xml:space="preserve">parts</t>
  </si>
  <si>
    <t xml:space="preserve">problem-statement.md (2025 containment)</t>
  </si>
  <si>
    <t xml:space="preserve">Parts contained with serial genealogy</t>
  </si>
  <si>
    <t xml:space="preserve">problem-statement.md (~3,000 actually suspect)</t>
  </si>
  <si>
    <t xml:space="preserve">Cost per part contained (sort, hold, freight, rework)</t>
  </si>
  <si>
    <t xml:space="preserve">$ / part</t>
  </si>
  <si>
    <t xml:space="preserve">ADR-024 cost review trigger</t>
  </si>
  <si>
    <t xml:space="preserve">Trigger threshold (GCP edge licence stack ÷ Azure)</t>
  </si>
  <si>
    <t xml:space="preserve">ADR-024: reopen if GCP stack &gt;20% above Azure over 5 years</t>
  </si>
  <si>
    <t xml:space="preserve">Azure IoT Operations fee per node</t>
  </si>
  <si>
    <t xml:space="preserve">$ / node-month</t>
  </si>
  <si>
    <t xml:space="preserve">SCENARIO INPUT — Microsoft's pricing page shows no public price; replace with quote</t>
  </si>
  <si>
    <t xml:space="preserve">Protocol gateways needed on Azure track</t>
  </si>
  <si>
    <t xml:space="preserve">gateways</t>
  </si>
  <si>
    <t xml:space="preserve">Plant 07 + the two Windows 7 HMI plants (MCe replaces them on GCP)</t>
  </si>
  <si>
    <t xml:space="preserve">Protocol gateway licence</t>
  </si>
  <si>
    <t xml:space="preserve">$ / gateway-yr</t>
  </si>
  <si>
    <t xml:space="preserve">GCP Cloud Run-Rate at Full Fleet (annual, illustrative)</t>
  </si>
  <si>
    <t xml:space="preserve">Line item</t>
  </si>
  <si>
    <t xml:space="preserve">Annual $</t>
  </si>
  <si>
    <t xml:space="preserve">Formula basis</t>
  </si>
  <si>
    <t xml:space="preserve">Volume-driven (scales with plants live)</t>
  </si>
  <si>
    <t xml:space="preserve">Pub/Sub throughput</t>
  </si>
  <si>
    <t xml:space="preserve">values/s × bytes × seconds/yr ÷ 2^40 × passes × $/TiB</t>
  </si>
  <si>
    <t xml:space="preserve">Dataflow streaming (MDE + hot path)</t>
  </si>
  <si>
    <t xml:space="preserve">workers × $/hr × 8,760</t>
  </si>
  <si>
    <t xml:space="preserve">Bigtable nodes</t>
  </si>
  <si>
    <t xml:space="preserve">nodes × $/hr × 8,760</t>
  </si>
  <si>
    <t xml:space="preserve">Bigtable storage</t>
  </si>
  <si>
    <t xml:space="preserve">TB × 1,000 × $/GB-month × 12</t>
  </si>
  <si>
    <t xml:space="preserve">BigQuery</t>
  </si>
  <si>
    <t xml:space="preserve">input</t>
  </si>
  <si>
    <t xml:space="preserve">Subtotal — volume-driven</t>
  </si>
  <si>
    <t xml:space="preserve">Fixed baseline (from Y1)</t>
  </si>
  <si>
    <t xml:space="preserve">Cloud SQL (genealogy)</t>
  </si>
  <si>
    <t xml:space="preserve">Vertex AI</t>
  </si>
  <si>
    <t xml:space="preserve">Looker</t>
  </si>
  <si>
    <t xml:space="preserve">HA VPN + egress</t>
  </si>
  <si>
    <t xml:space="preserve">Logging / Monitoring</t>
  </si>
  <si>
    <t xml:space="preserve">Cloud Storage archive</t>
  </si>
  <si>
    <t xml:space="preserve">Subtotal — fixed</t>
  </si>
  <si>
    <t xml:space="preserve">Total cloud run-rate at full fleet</t>
  </si>
  <si>
    <t xml:space="preserve">One-Time Program Costs and Phasing (illustrative)</t>
  </si>
  <si>
    <t xml:space="preserve">Blue = inputs. Phasing % per year must sum to 100% (check column Q).</t>
  </si>
  <si>
    <t xml:space="preserve">Item</t>
  </si>
  <si>
    <t xml:space="preserve">Quantity</t>
  </si>
  <si>
    <t xml:space="preserve">Unit cost ($)</t>
  </si>
  <si>
    <t xml:space="preserve">Total ($)</t>
  </si>
  <si>
    <t xml:space="preserve">Y1 %</t>
  </si>
  <si>
    <t xml:space="preserve">Y2 %</t>
  </si>
  <si>
    <t xml:space="preserve">Y3 %</t>
  </si>
  <si>
    <t xml:space="preserve">Y4 %</t>
  </si>
  <si>
    <t xml:space="preserve">Y5 %</t>
  </si>
  <si>
    <t xml:space="preserve">Y1 $</t>
  </si>
  <si>
    <t xml:space="preserve">Y2 $</t>
  </si>
  <si>
    <t xml:space="preserve">Y3 $</t>
  </si>
  <si>
    <t xml:space="preserve">Y4 $</t>
  </si>
  <si>
    <t xml:space="preserve">Y5 $</t>
  </si>
  <si>
    <t xml:space="preserve">Phasing check</t>
  </si>
  <si>
    <t xml:space="preserve">Phase 0 security integrator crews</t>
  </si>
  <si>
    <t xml:space="preserve">per plant</t>
  </si>
  <si>
    <t xml:space="preserve">ADR-025: 0a/0b/0c zoning, all plants in Y1</t>
  </si>
  <si>
    <t xml:space="preserve">DMZ firewalls + hosts</t>
  </si>
  <si>
    <t xml:space="preserve">ADR-003 DMZ at every plant</t>
  </si>
  <si>
    <t xml:space="preserve">GCP landing zone + platform setup (partner)</t>
  </si>
  <si>
    <t xml:space="preserve">lump sum</t>
  </si>
  <si>
    <t xml:space="preserve">Phase 1</t>
  </si>
  <si>
    <t xml:space="preserve">Outbox + Kestrel edge services build (4 eng × 9 mo)</t>
  </si>
  <si>
    <t xml:space="preserve">per eng-month</t>
  </si>
  <si>
    <t xml:space="preserve">ADR-019, ADR-024 cond. 3</t>
  </si>
  <si>
    <t xml:space="preserve">Vibration/temperature sensors, critical assets</t>
  </si>
  <si>
    <t xml:space="preserve">per asset</t>
  </si>
  <si>
    <t xml:space="preserve">~300 critical assets incl. install</t>
  </si>
  <si>
    <t xml:space="preserve">Tag mapping to ISA-95 model (180K tags × 0.05 h × $120)</t>
  </si>
  <si>
    <t xml:space="preserve">per tag</t>
  </si>
  <si>
    <t xml:space="preserve">Tiered scope: Tier 1 first (ADR-025)</t>
  </si>
  <si>
    <t xml:space="preserve">Genealogy station integration, non-MES OEM plants</t>
  </si>
  <si>
    <t xml:space="preserve">Plants 05/08/09, July 2027 shutdown</t>
  </si>
  <si>
    <t xml:space="preserve">Genealogy parallel run effort</t>
  </si>
  <si>
    <t xml:space="preserve">ADR-027: 30-day parallel run + 90-day fallback</t>
  </si>
  <si>
    <t xml:space="preserve">Program management + change</t>
  </si>
  <si>
    <t xml:space="preserve">Illustrative</t>
  </si>
  <si>
    <t xml:space="preserve">Total one-time</t>
  </si>
  <si>
    <t xml:space="preserve">Phasing check (each row should total 100%)</t>
  </si>
  <si>
    <t xml:space="preserve">Five-Year Cost and Value — GCP Target (illustrative)</t>
  </si>
  <si>
    <t xml:space="preserve">All figures in $. Year 1 = Oct 2026–Sep 2027. Green = links to other sheets.</t>
  </si>
  <si>
    <t xml:space="preserve">Line</t>
  </si>
  <si>
    <t xml:space="preserve">5-yr total</t>
  </si>
  <si>
    <t xml:space="preserve">Edge platform (GCP track)</t>
  </si>
  <si>
    <t xml:space="preserve">Edge hardware (capex, as plants go live)</t>
  </si>
  <si>
    <t xml:space="preserve">$/node × nodes/plant × newly live plants</t>
  </si>
  <si>
    <t xml:space="preserve">$/vCPU-mo × vCPU × nodes × live plants × 12</t>
  </si>
  <si>
    <t xml:space="preserve">Manufacturing Connect edge licences</t>
  </si>
  <si>
    <t xml:space="preserve">instances × $/yr × share of fleet live</t>
  </si>
  <si>
    <t xml:space="preserve">MQTT broker licences</t>
  </si>
  <si>
    <t xml:space="preserve">$/plant-yr × live plants</t>
  </si>
  <si>
    <t xml:space="preserve">Edge managed service (ADR-024 cond. 2)</t>
  </si>
  <si>
    <t xml:space="preserve">$/plant-mo × 12 × live plants</t>
  </si>
  <si>
    <t xml:space="preserve">Security track (platform-independent)</t>
  </si>
  <si>
    <t xml:space="preserve">SRA + OT monitoring + managed OT SOC</t>
  </si>
  <si>
    <t xml:space="preserve">All plants from Y1 (Phase 0a complete by M3)</t>
  </si>
  <si>
    <t xml:space="preserve">Ramos Arizpe second circuit</t>
  </si>
  <si>
    <t xml:space="preserve">From Y1</t>
  </si>
  <si>
    <t xml:space="preserve">Cloud (GCP)</t>
  </si>
  <si>
    <t xml:space="preserve">Cloud — volume-driven</t>
  </si>
  <si>
    <t xml:space="preserve">Full-fleet run-rate × share live</t>
  </si>
  <si>
    <t xml:space="preserve">Cloud — fixed baseline</t>
  </si>
  <si>
    <t xml:space="preserve">One-time program</t>
  </si>
  <si>
    <t xml:space="preserve">One-time program costs</t>
  </si>
  <si>
    <t xml:space="preserve">OneTime sheet phasing</t>
  </si>
  <si>
    <t xml:space="preserve">TOTAL COST</t>
  </si>
  <si>
    <t xml:space="preserve">Value (avoided cost)</t>
  </si>
  <si>
    <t xml:space="preserve">Unplanned downtime avoided (driver 2)</t>
  </si>
  <si>
    <t xml:space="preserve">$31M × reduction achieved</t>
  </si>
  <si>
    <t xml:space="preserve">Insurance interim uplift avoided (driver 1)</t>
  </si>
  <si>
    <t xml:space="preserve">premium × 40% × flag</t>
  </si>
  <si>
    <t xml:space="preserve">Containment cost avoided (driver 3)</t>
  </si>
  <si>
    <t xml:space="preserve">events/yr × (41K − 3K parts) × $/part × flag</t>
  </si>
  <si>
    <t xml:space="preserve">TOTAL VALUE</t>
  </si>
  <si>
    <t xml:space="preserve">NET (value − cost)</t>
  </si>
  <si>
    <t xml:space="preserve">Cumulative net</t>
  </si>
  <si>
    <t xml:space="preserve">Steady-state recurring run-rate (Y3, excl. one-time and capex)</t>
  </si>
  <si>
    <t xml:space="preserve">  of which edge licence stack (GDC + MCe + broker)</t>
  </si>
  <si>
    <t xml:space="preserve">  share of steady-state run-rate</t>
  </si>
  <si>
    <t xml:space="preserve">Steady-state value ÷ steady-state run-rate (Y3)</t>
  </si>
  <si>
    <t xml:space="preserve">Payback year (first year cumulative net ≥ 0)</t>
  </si>
  <si>
    <t xml:space="preserve">ADR-024 Cost Review Trigger — GCP vs. Azure Edge Licence Stack</t>
  </si>
  <si>
    <t xml:space="preserve">Compares only the edge licence stacks the trigger names. Same node count, ramp and hardware on both tracks, so those cancel. Azure IoT Operations pricing is not public — the break-even below is the result.</t>
  </si>
  <si>
    <t xml:space="preserve">GCP edge licence stack (GDC + MCe + broker)</t>
  </si>
  <si>
    <t xml:space="preserve">Links to FiveYearTCO</t>
  </si>
  <si>
    <t xml:space="preserve">Azure IoT Operations node fees</t>
  </si>
  <si>
    <t xml:space="preserve">$/node-mo × nodes × live plants × 12</t>
  </si>
  <si>
    <t xml:space="preserve">Azure protocol gateways (not needed on GCP)</t>
  </si>
  <si>
    <t xml:space="preserve">gateways × $/yr × share live</t>
  </si>
  <si>
    <t xml:space="preserve">Azure edge licence stack</t>
  </si>
  <si>
    <t xml:space="preserve">IoT Operations + gateways</t>
  </si>
  <si>
    <t xml:space="preserve">Ratio: GCP ÷ Azure (5-yr)</t>
  </si>
  <si>
    <t xml:space="preserve">Trigger threshold</t>
  </si>
  <si>
    <t xml:space="preserve">Does the trigger fire at the scenario Azure price?</t>
  </si>
  <si>
    <t xml:space="preserve">Break-even Azure IoT Operations price ($/node-month)</t>
  </si>
  <si>
    <t xml:space="preserve">If Microsoft's quoted IoT Operations price is BELOW this, the GCP stack exceeds Azure's by &gt;20% → trigger fires</t>
  </si>
  <si>
    <t xml:space="preserve">Parity Azure price (stacks equal)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</si>
</sst>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#,##0.00;\(#,##0.00\);\-"/>
    <numFmt numFmtId="169" formatCode="0.0\x"/>
    <numFmt numFmtId="170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Cost vs. Value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FiveYearTCO!A19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FiveYearTCO!$B$4:$F$4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FiveYearTCO!$B$19:$F$19</c:f>
              <c:numCache>
                <c:formatCode>\$#,##0;"($"#,##0\);\-</c:formatCode>
                <c:ptCount val="5"/>
                <c:pt idx="0">
                  <c:v>5193498.63679457</c:v>
                </c:pt>
                <c:pt idx="1">
                  <c:v>3659493.18397284</c:v>
                </c:pt>
                <c:pt idx="2">
                  <c:v>2197991.8207674</c:v>
                </c:pt>
                <c:pt idx="3">
                  <c:v>1873991.8207674</c:v>
                </c:pt>
                <c:pt idx="4">
                  <c:v>1873991.8207674</c:v>
                </c:pt>
              </c:numCache>
            </c:numRef>
          </c:val>
        </c:ser>
        <c:ser>
          <c:idx val="1"/>
          <c:order val="1"/>
          <c:tx>
            <c:strRef>
              <c:f>FiveYearTCO!A25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FiveYearTCO!$B$4:$F$4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FiveYearTCO!$B$25:$F$25</c:f>
              <c:numCache>
                <c:formatCode>\$#,##0;"($"#,##0\);\-</c:formatCode>
                <c:ptCount val="5"/>
                <c:pt idx="0">
                  <c:v>930000</c:v>
                </c:pt>
                <c:pt idx="1">
                  <c:v>7490000</c:v>
                </c:pt>
                <c:pt idx="2">
                  <c:v>10590000</c:v>
                </c:pt>
                <c:pt idx="3">
                  <c:v>10590000</c:v>
                </c:pt>
                <c:pt idx="4">
                  <c:v>10590000</c:v>
                </c:pt>
              </c:numCache>
            </c:numRef>
          </c:val>
        </c:ser>
        <c:gapWidth val="150"/>
        <c:overlap val="0"/>
        <c:axId val="41676506"/>
        <c:axId val="15855337"/>
      </c:barChart>
      <c:catAx>
        <c:axId val="41676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55337"/>
        <c:crosses val="autoZero"/>
        <c:auto val="1"/>
        <c:lblAlgn val="ctr"/>
        <c:lblOffset val="100"/>
        <c:noMultiLvlLbl val="0"/>
      </c:catAx>
      <c:valAx>
        <c:axId val="15855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76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160560</xdr:rowOff>
    </xdr:from>
    <xdr:to>
      <xdr:col>3</xdr:col>
      <xdr:colOff>261720</xdr:colOff>
      <xdr:row>50</xdr:row>
      <xdr:rowOff>182880</xdr:rowOff>
    </xdr:to>
    <xdr:graphicFrame>
      <xdr:nvGraphicFramePr>
        <xdr:cNvPr id="0" name="Chart 1"/>
        <xdr:cNvGraphicFramePr/>
      </xdr:nvGraphicFramePr>
      <xdr:xfrm>
        <a:off x="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2</v>
      </c>
      <c r="C6" s="6" t="n">
        <v>10</v>
      </c>
      <c r="D6" s="6" t="n">
        <v>12</v>
      </c>
      <c r="E6" s="6" t="n">
        <v>12</v>
      </c>
      <c r="F6" s="6" t="n">
        <v>12</v>
      </c>
      <c r="G6" s="7" t="s">
        <v>11</v>
      </c>
    </row>
    <row r="7" customFormat="false" ht="15" hidden="false" customHeight="false" outlineLevel="0" collapsed="false">
      <c r="A7" s="5" t="s">
        <v>12</v>
      </c>
      <c r="B7" s="8" t="n">
        <v>0.03</v>
      </c>
      <c r="C7" s="8" t="n">
        <v>0.2</v>
      </c>
      <c r="D7" s="8" t="n">
        <v>0.3</v>
      </c>
      <c r="E7" s="8" t="n">
        <v>0.3</v>
      </c>
      <c r="F7" s="8" t="n">
        <v>0.3</v>
      </c>
      <c r="G7" s="7" t="s">
        <v>13</v>
      </c>
    </row>
    <row r="8" customFormat="false" ht="15" hidden="false" customHeight="false" outlineLevel="0" collapsed="false">
      <c r="A8" s="5" t="s">
        <v>14</v>
      </c>
      <c r="B8" s="6" t="n">
        <v>0</v>
      </c>
      <c r="C8" s="6" t="n">
        <v>1</v>
      </c>
      <c r="D8" s="6" t="n">
        <v>1</v>
      </c>
      <c r="E8" s="6" t="n">
        <v>1</v>
      </c>
      <c r="F8" s="6" t="n">
        <v>1</v>
      </c>
      <c r="G8" s="7" t="s">
        <v>15</v>
      </c>
    </row>
    <row r="9" customFormat="false" ht="15" hidden="false" customHeight="false" outlineLevel="0" collapsed="false">
      <c r="A9" s="5" t="s">
        <v>16</v>
      </c>
      <c r="B9" s="6" t="n">
        <v>0</v>
      </c>
      <c r="C9" s="6" t="n">
        <v>1</v>
      </c>
      <c r="D9" s="6" t="n">
        <v>1</v>
      </c>
      <c r="E9" s="6" t="n">
        <v>1</v>
      </c>
      <c r="F9" s="6" t="n">
        <v>1</v>
      </c>
      <c r="G9" s="7" t="s">
        <v>17</v>
      </c>
    </row>
    <row r="11" customFormat="false" ht="15" hidden="false" customHeight="false" outlineLevel="0" collapsed="false">
      <c r="A11" s="3" t="s">
        <v>18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4" t="s">
        <v>21</v>
      </c>
      <c r="D12" s="4"/>
      <c r="E12" s="4"/>
      <c r="F12" s="4"/>
      <c r="G12" s="4" t="s">
        <v>22</v>
      </c>
    </row>
    <row r="13" customFormat="false" ht="15" hidden="false" customHeight="false" outlineLevel="0" collapsed="false">
      <c r="A13" s="5" t="s">
        <v>23</v>
      </c>
      <c r="B13" s="6" t="n">
        <v>12</v>
      </c>
      <c r="C13" s="5" t="s">
        <v>24</v>
      </c>
      <c r="G13" s="7" t="s">
        <v>25</v>
      </c>
    </row>
    <row r="14" customFormat="false" ht="15" hidden="false" customHeight="false" outlineLevel="0" collapsed="false">
      <c r="A14" s="5" t="s">
        <v>26</v>
      </c>
      <c r="B14" s="6" t="n">
        <v>3</v>
      </c>
      <c r="C14" s="5" t="s">
        <v>27</v>
      </c>
      <c r="G14" s="7" t="s">
        <v>28</v>
      </c>
    </row>
    <row r="15" customFormat="false" ht="15" hidden="false" customHeight="false" outlineLevel="0" collapsed="false">
      <c r="A15" s="5" t="s">
        <v>29</v>
      </c>
      <c r="B15" s="6" t="n">
        <v>16</v>
      </c>
      <c r="C15" s="5" t="s">
        <v>30</v>
      </c>
      <c r="G15" s="7" t="s">
        <v>31</v>
      </c>
    </row>
    <row r="16" customFormat="false" ht="15" hidden="false" customHeight="false" outlineLevel="0" collapsed="false">
      <c r="A16" s="3" t="s">
        <v>32</v>
      </c>
    </row>
    <row r="17" customFormat="false" ht="15" hidden="false" customHeight="false" outlineLevel="0" collapsed="false">
      <c r="A17" s="4" t="s">
        <v>19</v>
      </c>
      <c r="B17" s="4" t="s">
        <v>20</v>
      </c>
      <c r="C17" s="4" t="s">
        <v>21</v>
      </c>
      <c r="D17" s="4"/>
      <c r="E17" s="4"/>
      <c r="F17" s="4"/>
      <c r="G17" s="4" t="s">
        <v>22</v>
      </c>
    </row>
    <row r="18" customFormat="false" ht="15" hidden="false" customHeight="false" outlineLevel="0" collapsed="false">
      <c r="A18" s="5" t="s">
        <v>33</v>
      </c>
      <c r="B18" s="9" t="n">
        <v>18000</v>
      </c>
      <c r="C18" s="5" t="s">
        <v>34</v>
      </c>
      <c r="G18" s="7" t="s">
        <v>35</v>
      </c>
    </row>
    <row r="19" customFormat="false" ht="15" hidden="false" customHeight="false" outlineLevel="0" collapsed="false">
      <c r="A19" s="5" t="s">
        <v>36</v>
      </c>
      <c r="B19" s="10" t="n">
        <v>24</v>
      </c>
      <c r="C19" s="5" t="s">
        <v>37</v>
      </c>
      <c r="G19" s="7" t="s">
        <v>38</v>
      </c>
    </row>
    <row r="20" customFormat="false" ht="15" hidden="false" customHeight="false" outlineLevel="0" collapsed="false">
      <c r="A20" s="5" t="s">
        <v>39</v>
      </c>
      <c r="B20" s="6" t="n">
        <v>16</v>
      </c>
      <c r="C20" s="5" t="s">
        <v>40</v>
      </c>
      <c r="G20" s="7" t="s">
        <v>41</v>
      </c>
    </row>
    <row r="21" customFormat="false" ht="15" hidden="false" customHeight="false" outlineLevel="0" collapsed="false">
      <c r="A21" s="5" t="s">
        <v>42</v>
      </c>
      <c r="B21" s="11" t="n">
        <v>15000</v>
      </c>
      <c r="C21" s="5" t="s">
        <v>43</v>
      </c>
      <c r="G21" s="7" t="s">
        <v>44</v>
      </c>
    </row>
    <row r="22" customFormat="false" ht="15" hidden="false" customHeight="false" outlineLevel="0" collapsed="false">
      <c r="A22" s="5" t="s">
        <v>45</v>
      </c>
      <c r="B22" s="11" t="n">
        <v>10000</v>
      </c>
      <c r="C22" s="5" t="s">
        <v>46</v>
      </c>
      <c r="G22" s="7" t="s">
        <v>47</v>
      </c>
    </row>
    <row r="23" customFormat="false" ht="15" hidden="false" customHeight="false" outlineLevel="0" collapsed="false">
      <c r="A23" s="5" t="s">
        <v>48</v>
      </c>
      <c r="B23" s="11" t="n">
        <v>4000</v>
      </c>
      <c r="C23" s="5" t="s">
        <v>49</v>
      </c>
      <c r="G23" s="7" t="s">
        <v>50</v>
      </c>
    </row>
    <row r="24" customFormat="false" ht="15" hidden="false" customHeight="false" outlineLevel="0" collapsed="false">
      <c r="A24" s="3" t="s">
        <v>51</v>
      </c>
    </row>
    <row r="25" customFormat="false" ht="15" hidden="false" customHeight="false" outlineLevel="0" collapsed="false">
      <c r="A25" s="4" t="s">
        <v>19</v>
      </c>
      <c r="B25" s="4" t="s">
        <v>20</v>
      </c>
      <c r="C25" s="4" t="s">
        <v>21</v>
      </c>
      <c r="D25" s="4"/>
      <c r="E25" s="4"/>
      <c r="F25" s="4"/>
      <c r="G25" s="4" t="s">
        <v>22</v>
      </c>
    </row>
    <row r="26" customFormat="false" ht="15" hidden="false" customHeight="false" outlineLevel="0" collapsed="false">
      <c r="A26" s="5" t="s">
        <v>52</v>
      </c>
      <c r="B26" s="9" t="n">
        <v>8000</v>
      </c>
      <c r="C26" s="5" t="s">
        <v>46</v>
      </c>
      <c r="G26" s="7" t="s">
        <v>53</v>
      </c>
    </row>
    <row r="27" customFormat="false" ht="15" hidden="false" customHeight="false" outlineLevel="0" collapsed="false">
      <c r="A27" s="5" t="s">
        <v>54</v>
      </c>
      <c r="B27" s="9" t="n">
        <v>20000</v>
      </c>
      <c r="C27" s="5" t="s">
        <v>46</v>
      </c>
      <c r="G27" s="7" t="s">
        <v>53</v>
      </c>
    </row>
    <row r="28" customFormat="false" ht="15" hidden="false" customHeight="false" outlineLevel="0" collapsed="false">
      <c r="A28" s="5" t="s">
        <v>55</v>
      </c>
      <c r="B28" s="9" t="n">
        <v>150000</v>
      </c>
      <c r="C28" s="5" t="s">
        <v>56</v>
      </c>
      <c r="G28" s="7" t="s">
        <v>57</v>
      </c>
    </row>
    <row r="29" customFormat="false" ht="15" hidden="false" customHeight="false" outlineLevel="0" collapsed="false">
      <c r="A29" s="5" t="s">
        <v>58</v>
      </c>
      <c r="B29" s="9" t="n">
        <v>24000</v>
      </c>
      <c r="C29" s="5" t="s">
        <v>56</v>
      </c>
      <c r="G29" s="7" t="s">
        <v>59</v>
      </c>
    </row>
    <row r="30" customFormat="false" ht="15" hidden="false" customHeight="false" outlineLevel="0" collapsed="false">
      <c r="A30" s="3" t="s">
        <v>60</v>
      </c>
    </row>
    <row r="31" customFormat="false" ht="15" hidden="false" customHeight="false" outlineLevel="0" collapsed="false">
      <c r="A31" s="4" t="s">
        <v>19</v>
      </c>
      <c r="B31" s="4" t="s">
        <v>20</v>
      </c>
      <c r="C31" s="4" t="s">
        <v>21</v>
      </c>
      <c r="D31" s="4"/>
      <c r="E31" s="4"/>
      <c r="F31" s="4"/>
      <c r="G31" s="4" t="s">
        <v>22</v>
      </c>
    </row>
    <row r="32" customFormat="false" ht="15" hidden="false" customHeight="false" outlineLevel="0" collapsed="false">
      <c r="A32" s="5" t="s">
        <v>61</v>
      </c>
      <c r="B32" s="6" t="n">
        <v>60000</v>
      </c>
      <c r="C32" s="5" t="s">
        <v>62</v>
      </c>
      <c r="G32" s="7" t="s">
        <v>63</v>
      </c>
    </row>
    <row r="33" customFormat="false" ht="15" hidden="false" customHeight="false" outlineLevel="0" collapsed="false">
      <c r="A33" s="5" t="s">
        <v>64</v>
      </c>
      <c r="B33" s="6" t="n">
        <v>40</v>
      </c>
      <c r="C33" s="5" t="s">
        <v>65</v>
      </c>
      <c r="G33" s="7" t="s">
        <v>66</v>
      </c>
    </row>
    <row r="34" customFormat="false" ht="15" hidden="false" customHeight="false" outlineLevel="0" collapsed="false">
      <c r="A34" s="5" t="s">
        <v>67</v>
      </c>
      <c r="B34" s="6" t="n">
        <v>4</v>
      </c>
      <c r="C34" s="5" t="s">
        <v>68</v>
      </c>
      <c r="G34" s="7" t="s">
        <v>69</v>
      </c>
    </row>
    <row r="35" customFormat="false" ht="15" hidden="false" customHeight="false" outlineLevel="0" collapsed="false">
      <c r="A35" s="5" t="s">
        <v>70</v>
      </c>
      <c r="B35" s="9" t="n">
        <v>40</v>
      </c>
      <c r="C35" s="5" t="s">
        <v>71</v>
      </c>
      <c r="G35" s="7" t="s">
        <v>72</v>
      </c>
    </row>
    <row r="36" customFormat="false" ht="15" hidden="false" customHeight="false" outlineLevel="0" collapsed="false">
      <c r="A36" s="5" t="s">
        <v>73</v>
      </c>
      <c r="B36" s="6" t="n">
        <v>11</v>
      </c>
      <c r="C36" s="5" t="s">
        <v>74</v>
      </c>
      <c r="G36" s="7" t="s">
        <v>75</v>
      </c>
    </row>
    <row r="37" customFormat="false" ht="15" hidden="false" customHeight="false" outlineLevel="0" collapsed="false">
      <c r="A37" s="5" t="s">
        <v>76</v>
      </c>
      <c r="B37" s="12" t="n">
        <v>0.35</v>
      </c>
      <c r="C37" s="5" t="s">
        <v>77</v>
      </c>
      <c r="G37" s="7" t="s">
        <v>78</v>
      </c>
    </row>
    <row r="38" customFormat="false" ht="15" hidden="false" customHeight="false" outlineLevel="0" collapsed="false">
      <c r="A38" s="5" t="s">
        <v>79</v>
      </c>
      <c r="B38" s="6" t="n">
        <v>4</v>
      </c>
      <c r="C38" s="5" t="s">
        <v>27</v>
      </c>
      <c r="G38" s="7" t="s">
        <v>80</v>
      </c>
    </row>
    <row r="39" customFormat="false" ht="15" hidden="false" customHeight="false" outlineLevel="0" collapsed="false">
      <c r="A39" s="5" t="s">
        <v>81</v>
      </c>
      <c r="B39" s="12" t="n">
        <v>0.65</v>
      </c>
      <c r="C39" s="5" t="s">
        <v>82</v>
      </c>
      <c r="G39" s="7" t="s">
        <v>83</v>
      </c>
    </row>
    <row r="40" customFormat="false" ht="15" hidden="false" customHeight="false" outlineLevel="0" collapsed="false">
      <c r="A40" s="5" t="s">
        <v>84</v>
      </c>
      <c r="B40" s="12" t="n">
        <v>4.7</v>
      </c>
      <c r="C40" s="5" t="s">
        <v>85</v>
      </c>
      <c r="G40" s="7" t="s">
        <v>86</v>
      </c>
    </row>
    <row r="41" customFormat="false" ht="15" hidden="false" customHeight="false" outlineLevel="0" collapsed="false">
      <c r="A41" s="5" t="s">
        <v>87</v>
      </c>
      <c r="B41" s="12" t="n">
        <v>0.17</v>
      </c>
      <c r="C41" s="5" t="s">
        <v>88</v>
      </c>
      <c r="G41" s="7" t="s">
        <v>78</v>
      </c>
    </row>
    <row r="42" customFormat="false" ht="15" hidden="false" customHeight="false" outlineLevel="0" collapsed="false">
      <c r="A42" s="5" t="s">
        <v>89</v>
      </c>
      <c r="B42" s="9" t="n">
        <v>30000</v>
      </c>
      <c r="C42" s="5" t="s">
        <v>56</v>
      </c>
      <c r="G42" s="7" t="s">
        <v>78</v>
      </c>
    </row>
    <row r="43" customFormat="false" ht="15" hidden="false" customHeight="false" outlineLevel="0" collapsed="false">
      <c r="A43" s="5" t="s">
        <v>90</v>
      </c>
      <c r="B43" s="9" t="n">
        <v>25000</v>
      </c>
      <c r="C43" s="5" t="s">
        <v>56</v>
      </c>
      <c r="G43" s="7" t="s">
        <v>91</v>
      </c>
    </row>
    <row r="44" customFormat="false" ht="15" hidden="false" customHeight="false" outlineLevel="0" collapsed="false">
      <c r="A44" s="5" t="s">
        <v>92</v>
      </c>
      <c r="B44" s="9" t="n">
        <v>40000</v>
      </c>
      <c r="C44" s="5" t="s">
        <v>56</v>
      </c>
      <c r="G44" s="7" t="s">
        <v>78</v>
      </c>
    </row>
    <row r="45" customFormat="false" ht="15" hidden="false" customHeight="false" outlineLevel="0" collapsed="false">
      <c r="A45" s="5" t="s">
        <v>93</v>
      </c>
      <c r="B45" s="11" t="n">
        <v>60000</v>
      </c>
      <c r="C45" s="5" t="s">
        <v>56</v>
      </c>
      <c r="G45" s="7" t="s">
        <v>94</v>
      </c>
    </row>
    <row r="46" customFormat="false" ht="15" hidden="false" customHeight="false" outlineLevel="0" collapsed="false">
      <c r="A46" s="5" t="s">
        <v>95</v>
      </c>
      <c r="B46" s="9" t="n">
        <v>10000</v>
      </c>
      <c r="C46" s="5" t="s">
        <v>56</v>
      </c>
      <c r="G46" s="7" t="s">
        <v>96</v>
      </c>
    </row>
    <row r="47" customFormat="false" ht="15" hidden="false" customHeight="false" outlineLevel="0" collapsed="false">
      <c r="A47" s="5" t="s">
        <v>97</v>
      </c>
      <c r="B47" s="9" t="n">
        <v>15000</v>
      </c>
      <c r="C47" s="5" t="s">
        <v>56</v>
      </c>
      <c r="G47" s="7" t="s">
        <v>78</v>
      </c>
    </row>
    <row r="48" customFormat="false" ht="15" hidden="false" customHeight="false" outlineLevel="0" collapsed="false">
      <c r="A48" s="5" t="s">
        <v>98</v>
      </c>
      <c r="B48" s="9" t="n">
        <v>5000</v>
      </c>
      <c r="C48" s="5" t="s">
        <v>56</v>
      </c>
      <c r="G48" s="7" t="s">
        <v>99</v>
      </c>
    </row>
    <row r="49" customFormat="false" ht="15" hidden="false" customHeight="false" outlineLevel="0" collapsed="false">
      <c r="A49" s="3" t="s">
        <v>100</v>
      </c>
    </row>
    <row r="50" customFormat="false" ht="15" hidden="false" customHeight="false" outlineLevel="0" collapsed="false">
      <c r="A50" s="4" t="s">
        <v>19</v>
      </c>
      <c r="B50" s="4" t="s">
        <v>20</v>
      </c>
      <c r="C50" s="4" t="s">
        <v>21</v>
      </c>
      <c r="D50" s="4"/>
      <c r="E50" s="4"/>
      <c r="F50" s="4"/>
      <c r="G50" s="4" t="s">
        <v>22</v>
      </c>
    </row>
    <row r="51" customFormat="false" ht="15" hidden="false" customHeight="false" outlineLevel="0" collapsed="false">
      <c r="A51" s="5" t="s">
        <v>101</v>
      </c>
      <c r="B51" s="9" t="n">
        <v>31000000</v>
      </c>
      <c r="C51" s="5" t="s">
        <v>56</v>
      </c>
      <c r="G51" s="7" t="s">
        <v>102</v>
      </c>
    </row>
    <row r="52" customFormat="false" ht="15" hidden="false" customHeight="false" outlineLevel="0" collapsed="false">
      <c r="A52" s="5" t="s">
        <v>103</v>
      </c>
      <c r="B52" s="11" t="n">
        <v>1800000</v>
      </c>
      <c r="C52" s="5" t="s">
        <v>56</v>
      </c>
      <c r="G52" s="7" t="s">
        <v>104</v>
      </c>
    </row>
    <row r="53" customFormat="false" ht="15" hidden="false" customHeight="false" outlineLevel="0" collapsed="false">
      <c r="A53" s="5" t="s">
        <v>105</v>
      </c>
      <c r="B53" s="8" t="n">
        <v>0.4</v>
      </c>
      <c r="C53" s="5" t="s">
        <v>106</v>
      </c>
      <c r="G53" s="7" t="s">
        <v>107</v>
      </c>
    </row>
    <row r="54" customFormat="false" ht="15" hidden="false" customHeight="false" outlineLevel="0" collapsed="false">
      <c r="A54" s="5" t="s">
        <v>108</v>
      </c>
      <c r="B54" s="12" t="n">
        <v>0.5</v>
      </c>
      <c r="C54" s="5" t="s">
        <v>109</v>
      </c>
      <c r="G54" s="7" t="s">
        <v>110</v>
      </c>
    </row>
    <row r="55" customFormat="false" ht="15" hidden="false" customHeight="false" outlineLevel="0" collapsed="false">
      <c r="A55" s="5" t="s">
        <v>111</v>
      </c>
      <c r="B55" s="6" t="n">
        <v>41000</v>
      </c>
      <c r="C55" s="5" t="s">
        <v>112</v>
      </c>
      <c r="G55" s="7" t="s">
        <v>113</v>
      </c>
    </row>
    <row r="56" customFormat="false" ht="15" hidden="false" customHeight="false" outlineLevel="0" collapsed="false">
      <c r="A56" s="5" t="s">
        <v>114</v>
      </c>
      <c r="B56" s="6" t="n">
        <v>3000</v>
      </c>
      <c r="C56" s="5" t="s">
        <v>112</v>
      </c>
      <c r="G56" s="7" t="s">
        <v>115</v>
      </c>
    </row>
    <row r="57" customFormat="false" ht="15" hidden="false" customHeight="false" outlineLevel="0" collapsed="false">
      <c r="A57" s="5" t="s">
        <v>116</v>
      </c>
      <c r="B57" s="9" t="n">
        <v>30</v>
      </c>
      <c r="C57" s="5" t="s">
        <v>117</v>
      </c>
      <c r="G57" s="7" t="s">
        <v>78</v>
      </c>
    </row>
    <row r="58" customFormat="false" ht="15" hidden="false" customHeight="false" outlineLevel="0" collapsed="false">
      <c r="A58" s="3" t="s">
        <v>118</v>
      </c>
    </row>
    <row r="59" customFormat="false" ht="15" hidden="false" customHeight="false" outlineLevel="0" collapsed="false">
      <c r="A59" s="4" t="s">
        <v>19</v>
      </c>
      <c r="B59" s="4" t="s">
        <v>20</v>
      </c>
      <c r="C59" s="4" t="s">
        <v>21</v>
      </c>
      <c r="D59" s="4"/>
      <c r="E59" s="4"/>
      <c r="F59" s="4"/>
      <c r="G59" s="4" t="s">
        <v>22</v>
      </c>
    </row>
    <row r="60" customFormat="false" ht="15" hidden="false" customHeight="false" outlineLevel="0" collapsed="false">
      <c r="A60" s="5" t="s">
        <v>119</v>
      </c>
      <c r="B60" s="12" t="n">
        <v>1.2</v>
      </c>
      <c r="C60" s="5" t="s">
        <v>68</v>
      </c>
      <c r="G60" s="7" t="s">
        <v>120</v>
      </c>
    </row>
    <row r="61" customFormat="false" ht="15" hidden="false" customHeight="false" outlineLevel="0" collapsed="false">
      <c r="A61" s="5" t="s">
        <v>121</v>
      </c>
      <c r="B61" s="11" t="n">
        <v>600</v>
      </c>
      <c r="C61" s="5" t="s">
        <v>122</v>
      </c>
      <c r="G61" s="7" t="s">
        <v>123</v>
      </c>
    </row>
    <row r="62" customFormat="false" ht="15" hidden="false" customHeight="false" outlineLevel="0" collapsed="false">
      <c r="A62" s="5" t="s">
        <v>124</v>
      </c>
      <c r="B62" s="6" t="n">
        <v>3</v>
      </c>
      <c r="C62" s="5" t="s">
        <v>125</v>
      </c>
      <c r="G62" s="7" t="s">
        <v>126</v>
      </c>
    </row>
    <row r="63" customFormat="false" ht="15" hidden="false" customHeight="false" outlineLevel="0" collapsed="false">
      <c r="A63" s="5" t="s">
        <v>127</v>
      </c>
      <c r="B63" s="9" t="n">
        <v>5000</v>
      </c>
      <c r="C63" s="5" t="s">
        <v>128</v>
      </c>
      <c r="G63" s="7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4" t="s">
        <v>130</v>
      </c>
      <c r="B3" s="4" t="s">
        <v>131</v>
      </c>
      <c r="C3" s="4" t="s">
        <v>132</v>
      </c>
    </row>
    <row r="4" customFormat="false" ht="15" hidden="false" customHeight="false" outlineLevel="0" collapsed="false">
      <c r="A4" s="13" t="s">
        <v>133</v>
      </c>
      <c r="B4" s="14"/>
      <c r="C4" s="14"/>
    </row>
    <row r="5" customFormat="false" ht="15" hidden="false" customHeight="false" outlineLevel="0" collapsed="false">
      <c r="A5" s="5" t="s">
        <v>134</v>
      </c>
      <c r="B5" s="15" t="n">
        <f aca="false">Assumptions!$B$32*Assumptions!$B$33*86400*365/1099511627776*Assumptions!$B$34*Assumptions!$B$35</f>
        <v>11013.8207674026</v>
      </c>
      <c r="C5" s="7" t="s">
        <v>135</v>
      </c>
    </row>
    <row r="6" customFormat="false" ht="15" hidden="false" customHeight="false" outlineLevel="0" collapsed="false">
      <c r="A6" s="5" t="s">
        <v>136</v>
      </c>
      <c r="B6" s="15" t="n">
        <f aca="false">Assumptions!$B$36*Assumptions!$B$37*8760</f>
        <v>33726</v>
      </c>
      <c r="C6" s="7" t="s">
        <v>137</v>
      </c>
    </row>
    <row r="7" customFormat="false" ht="15" hidden="false" customHeight="false" outlineLevel="0" collapsed="false">
      <c r="A7" s="5" t="s">
        <v>138</v>
      </c>
      <c r="B7" s="15" t="n">
        <f aca="false">Assumptions!$B$38*Assumptions!$B$39*8760</f>
        <v>22776</v>
      </c>
      <c r="C7" s="7" t="s">
        <v>139</v>
      </c>
    </row>
    <row r="8" customFormat="false" ht="15" hidden="false" customHeight="false" outlineLevel="0" collapsed="false">
      <c r="A8" s="5" t="s">
        <v>140</v>
      </c>
      <c r="B8" s="15" t="n">
        <f aca="false">Assumptions!$B$40*1000*Assumptions!$B$41*12</f>
        <v>9588</v>
      </c>
      <c r="C8" s="7" t="s">
        <v>141</v>
      </c>
    </row>
    <row r="9" customFormat="false" ht="15" hidden="false" customHeight="false" outlineLevel="0" collapsed="false">
      <c r="A9" s="5" t="s">
        <v>142</v>
      </c>
      <c r="B9" s="15" t="n">
        <f aca="false">Assumptions!$B$42</f>
        <v>30000</v>
      </c>
      <c r="C9" s="7" t="s">
        <v>143</v>
      </c>
    </row>
    <row r="10" customFormat="false" ht="15" hidden="false" customHeight="false" outlineLevel="0" collapsed="false">
      <c r="A10" s="16" t="s">
        <v>144</v>
      </c>
      <c r="B10" s="17" t="n">
        <f aca="false">SUM(B5:B9)</f>
        <v>107103.820767403</v>
      </c>
    </row>
    <row r="12" customFormat="false" ht="15" hidden="false" customHeight="false" outlineLevel="0" collapsed="false">
      <c r="A12" s="13" t="s">
        <v>145</v>
      </c>
      <c r="B12" s="14"/>
      <c r="C12" s="14"/>
    </row>
    <row r="13" customFormat="false" ht="15" hidden="false" customHeight="false" outlineLevel="0" collapsed="false">
      <c r="A13" s="5" t="s">
        <v>146</v>
      </c>
      <c r="B13" s="15" t="n">
        <f aca="false">Assumptions!$B$43</f>
        <v>25000</v>
      </c>
      <c r="C13" s="7" t="s">
        <v>143</v>
      </c>
    </row>
    <row r="14" customFormat="false" ht="15" hidden="false" customHeight="false" outlineLevel="0" collapsed="false">
      <c r="A14" s="5" t="s">
        <v>147</v>
      </c>
      <c r="B14" s="15" t="n">
        <f aca="false">Assumptions!$B$44</f>
        <v>40000</v>
      </c>
      <c r="C14" s="7" t="s">
        <v>143</v>
      </c>
    </row>
    <row r="15" customFormat="false" ht="15" hidden="false" customHeight="false" outlineLevel="0" collapsed="false">
      <c r="A15" s="5" t="s">
        <v>148</v>
      </c>
      <c r="B15" s="15" t="n">
        <f aca="false">Assumptions!$B$45</f>
        <v>60000</v>
      </c>
      <c r="C15" s="7" t="s">
        <v>143</v>
      </c>
    </row>
    <row r="16" customFormat="false" ht="15" hidden="false" customHeight="false" outlineLevel="0" collapsed="false">
      <c r="A16" s="5" t="s">
        <v>149</v>
      </c>
      <c r="B16" s="15" t="n">
        <f aca="false">Assumptions!$B$46</f>
        <v>10000</v>
      </c>
      <c r="C16" s="7" t="s">
        <v>143</v>
      </c>
    </row>
    <row r="17" customFormat="false" ht="15" hidden="false" customHeight="false" outlineLevel="0" collapsed="false">
      <c r="A17" s="5" t="s">
        <v>150</v>
      </c>
      <c r="B17" s="15" t="n">
        <f aca="false">Assumptions!$B$47</f>
        <v>15000</v>
      </c>
      <c r="C17" s="7" t="s">
        <v>143</v>
      </c>
    </row>
    <row r="18" customFormat="false" ht="15" hidden="false" customHeight="false" outlineLevel="0" collapsed="false">
      <c r="A18" s="5" t="s">
        <v>151</v>
      </c>
      <c r="B18" s="15" t="n">
        <f aca="false">Assumptions!$B$48</f>
        <v>5000</v>
      </c>
      <c r="C18" s="7" t="s">
        <v>143</v>
      </c>
    </row>
    <row r="19" customFormat="false" ht="15" hidden="false" customHeight="false" outlineLevel="0" collapsed="false">
      <c r="A19" s="16" t="s">
        <v>152</v>
      </c>
      <c r="B19" s="17" t="n">
        <f aca="false">SUM(B13:B18)</f>
        <v>155000</v>
      </c>
    </row>
    <row r="21" customFormat="false" ht="15" hidden="false" customHeight="false" outlineLevel="0" collapsed="false">
      <c r="A21" s="16" t="s">
        <v>153</v>
      </c>
      <c r="B21" s="17" t="n">
        <f aca="false">CloudRunRate!$B$10+CloudRunRate!$B$19</f>
        <v>262103.820767403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10" min="6" style="0" width="11"/>
    <col collapsed="false" customWidth="true" hidden="false" outlineLevel="0" max="15" min="11" style="0" width="14"/>
    <col collapsed="false" customWidth="true" hidden="false" outlineLevel="0" max="16" min="16" style="0" width="5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26.85" hidden="false" customHeight="false" outlineLevel="0" collapsed="false">
      <c r="A4" s="4" t="s">
        <v>156</v>
      </c>
      <c r="B4" s="4" t="s">
        <v>157</v>
      </c>
      <c r="C4" s="4" t="s">
        <v>158</v>
      </c>
      <c r="D4" s="4" t="s">
        <v>21</v>
      </c>
      <c r="E4" s="4" t="s">
        <v>159</v>
      </c>
      <c r="F4" s="4" t="s">
        <v>160</v>
      </c>
      <c r="G4" s="4" t="s">
        <v>161</v>
      </c>
      <c r="H4" s="4" t="s">
        <v>162</v>
      </c>
      <c r="I4" s="4" t="s">
        <v>163</v>
      </c>
      <c r="J4" s="4" t="s">
        <v>164</v>
      </c>
      <c r="K4" s="4" t="s">
        <v>165</v>
      </c>
      <c r="L4" s="4" t="s">
        <v>166</v>
      </c>
      <c r="M4" s="4" t="s">
        <v>167</v>
      </c>
      <c r="N4" s="4" t="s">
        <v>168</v>
      </c>
      <c r="O4" s="4" t="s">
        <v>169</v>
      </c>
      <c r="P4" s="4" t="s">
        <v>9</v>
      </c>
      <c r="Q4" s="18" t="s">
        <v>170</v>
      </c>
    </row>
    <row r="5" customFormat="false" ht="15" hidden="false" customHeight="false" outlineLevel="0" collapsed="false">
      <c r="A5" s="5" t="s">
        <v>171</v>
      </c>
      <c r="B5" s="6" t="n">
        <v>12</v>
      </c>
      <c r="C5" s="9" t="n">
        <v>120000</v>
      </c>
      <c r="D5" s="5" t="s">
        <v>172</v>
      </c>
      <c r="E5" s="15" t="n">
        <f aca="false">B5*C5</f>
        <v>1440000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15" t="n">
        <f aca="false">$E5*F5</f>
        <v>1440000</v>
      </c>
      <c r="L5" s="15" t="n">
        <f aca="false">$E5*G5</f>
        <v>0</v>
      </c>
      <c r="M5" s="15" t="n">
        <f aca="false">$E5*H5</f>
        <v>0</v>
      </c>
      <c r="N5" s="15" t="n">
        <f aca="false">$E5*I5</f>
        <v>0</v>
      </c>
      <c r="O5" s="15" t="n">
        <f aca="false">$E5*J5</f>
        <v>0</v>
      </c>
      <c r="P5" s="7" t="s">
        <v>173</v>
      </c>
      <c r="Q5" s="19" t="n">
        <f aca="false">SUM(F5:J5)</f>
        <v>1</v>
      </c>
    </row>
    <row r="6" customFormat="false" ht="15" hidden="false" customHeight="false" outlineLevel="0" collapsed="false">
      <c r="A6" s="5" t="s">
        <v>174</v>
      </c>
      <c r="B6" s="6" t="n">
        <v>12</v>
      </c>
      <c r="C6" s="9" t="n">
        <v>45000</v>
      </c>
      <c r="D6" s="5" t="s">
        <v>172</v>
      </c>
      <c r="E6" s="15" t="n">
        <f aca="false">B6*C6</f>
        <v>540000</v>
      </c>
      <c r="F6" s="8" t="n">
        <v>1</v>
      </c>
      <c r="G6" s="8" t="n">
        <v>0</v>
      </c>
      <c r="H6" s="8" t="n">
        <v>0</v>
      </c>
      <c r="I6" s="8" t="n">
        <v>0</v>
      </c>
      <c r="J6" s="8" t="n">
        <v>0</v>
      </c>
      <c r="K6" s="15" t="n">
        <f aca="false">$E6*F6</f>
        <v>540000</v>
      </c>
      <c r="L6" s="15" t="n">
        <f aca="false">$E6*G6</f>
        <v>0</v>
      </c>
      <c r="M6" s="15" t="n">
        <f aca="false">$E6*H6</f>
        <v>0</v>
      </c>
      <c r="N6" s="15" t="n">
        <f aca="false">$E6*I6</f>
        <v>0</v>
      </c>
      <c r="O6" s="15" t="n">
        <f aca="false">$E6*J6</f>
        <v>0</v>
      </c>
      <c r="P6" s="7" t="s">
        <v>175</v>
      </c>
      <c r="Q6" s="19" t="n">
        <f aca="false">SUM(F6:J6)</f>
        <v>1</v>
      </c>
    </row>
    <row r="7" customFormat="false" ht="15" hidden="false" customHeight="false" outlineLevel="0" collapsed="false">
      <c r="A7" s="5" t="s">
        <v>176</v>
      </c>
      <c r="B7" s="6" t="n">
        <v>1</v>
      </c>
      <c r="C7" s="9" t="n">
        <v>250000</v>
      </c>
      <c r="D7" s="5" t="s">
        <v>177</v>
      </c>
      <c r="E7" s="15" t="n">
        <f aca="false">B7*C7</f>
        <v>250000</v>
      </c>
      <c r="F7" s="8" t="n">
        <v>1</v>
      </c>
      <c r="G7" s="8" t="n">
        <v>0</v>
      </c>
      <c r="H7" s="8" t="n">
        <v>0</v>
      </c>
      <c r="I7" s="8" t="n">
        <v>0</v>
      </c>
      <c r="J7" s="8" t="n">
        <v>0</v>
      </c>
      <c r="K7" s="15" t="n">
        <f aca="false">$E7*F7</f>
        <v>250000</v>
      </c>
      <c r="L7" s="15" t="n">
        <f aca="false">$E7*G7</f>
        <v>0</v>
      </c>
      <c r="M7" s="15" t="n">
        <f aca="false">$E7*H7</f>
        <v>0</v>
      </c>
      <c r="N7" s="15" t="n">
        <f aca="false">$E7*I7</f>
        <v>0</v>
      </c>
      <c r="O7" s="15" t="n">
        <f aca="false">$E7*J7</f>
        <v>0</v>
      </c>
      <c r="P7" s="7" t="s">
        <v>178</v>
      </c>
      <c r="Q7" s="19" t="n">
        <f aca="false">SUM(F7:J7)</f>
        <v>1</v>
      </c>
    </row>
    <row r="8" customFormat="false" ht="15" hidden="false" customHeight="false" outlineLevel="0" collapsed="false">
      <c r="A8" s="5" t="s">
        <v>179</v>
      </c>
      <c r="B8" s="6" t="n">
        <v>36</v>
      </c>
      <c r="C8" s="9" t="n">
        <v>15000</v>
      </c>
      <c r="D8" s="5" t="s">
        <v>180</v>
      </c>
      <c r="E8" s="15" t="n">
        <f aca="false">B8*C8</f>
        <v>540000</v>
      </c>
      <c r="F8" s="8" t="n">
        <v>1</v>
      </c>
      <c r="G8" s="8" t="n">
        <v>0</v>
      </c>
      <c r="H8" s="8" t="n">
        <v>0</v>
      </c>
      <c r="I8" s="8" t="n">
        <v>0</v>
      </c>
      <c r="J8" s="8" t="n">
        <v>0</v>
      </c>
      <c r="K8" s="15" t="n">
        <f aca="false">$E8*F8</f>
        <v>540000</v>
      </c>
      <c r="L8" s="15" t="n">
        <f aca="false">$E8*G8</f>
        <v>0</v>
      </c>
      <c r="M8" s="15" t="n">
        <f aca="false">$E8*H8</f>
        <v>0</v>
      </c>
      <c r="N8" s="15" t="n">
        <f aca="false">$E8*I8</f>
        <v>0</v>
      </c>
      <c r="O8" s="15" t="n">
        <f aca="false">$E8*J8</f>
        <v>0</v>
      </c>
      <c r="P8" s="7" t="s">
        <v>181</v>
      </c>
      <c r="Q8" s="19" t="n">
        <f aca="false">SUM(F8:J8)</f>
        <v>1</v>
      </c>
    </row>
    <row r="9" customFormat="false" ht="15" hidden="false" customHeight="false" outlineLevel="0" collapsed="false">
      <c r="A9" s="5" t="s">
        <v>182</v>
      </c>
      <c r="B9" s="6" t="n">
        <v>300</v>
      </c>
      <c r="C9" s="9" t="n">
        <v>3500</v>
      </c>
      <c r="D9" s="5" t="s">
        <v>183</v>
      </c>
      <c r="E9" s="15" t="n">
        <f aca="false">B9*C9</f>
        <v>1050000</v>
      </c>
      <c r="F9" s="8" t="n">
        <v>0.3</v>
      </c>
      <c r="G9" s="8" t="n">
        <v>0.7</v>
      </c>
      <c r="H9" s="8" t="n">
        <v>0</v>
      </c>
      <c r="I9" s="8" t="n">
        <v>0</v>
      </c>
      <c r="J9" s="8" t="n">
        <v>0</v>
      </c>
      <c r="K9" s="15" t="n">
        <f aca="false">$E9*F9</f>
        <v>315000</v>
      </c>
      <c r="L9" s="15" t="n">
        <f aca="false">$E9*G9</f>
        <v>735000</v>
      </c>
      <c r="M9" s="15" t="n">
        <f aca="false">$E9*H9</f>
        <v>0</v>
      </c>
      <c r="N9" s="15" t="n">
        <f aca="false">$E9*I9</f>
        <v>0</v>
      </c>
      <c r="O9" s="15" t="n">
        <f aca="false">$E9*J9</f>
        <v>0</v>
      </c>
      <c r="P9" s="7" t="s">
        <v>184</v>
      </c>
      <c r="Q9" s="19" t="n">
        <f aca="false">SUM(F9:J9)</f>
        <v>1</v>
      </c>
    </row>
    <row r="10" customFormat="false" ht="15" hidden="false" customHeight="false" outlineLevel="0" collapsed="false">
      <c r="A10" s="5" t="s">
        <v>185</v>
      </c>
      <c r="B10" s="6" t="n">
        <v>180000</v>
      </c>
      <c r="C10" s="9" t="n">
        <v>6</v>
      </c>
      <c r="D10" s="5" t="s">
        <v>186</v>
      </c>
      <c r="E10" s="15" t="n">
        <f aca="false">B10*C10</f>
        <v>1080000</v>
      </c>
      <c r="F10" s="8" t="n">
        <v>0.3</v>
      </c>
      <c r="G10" s="8" t="n">
        <v>0.5</v>
      </c>
      <c r="H10" s="8" t="n">
        <v>0.2</v>
      </c>
      <c r="I10" s="8" t="n">
        <v>0</v>
      </c>
      <c r="J10" s="8" t="n">
        <v>0</v>
      </c>
      <c r="K10" s="15" t="n">
        <f aca="false">$E10*F10</f>
        <v>324000</v>
      </c>
      <c r="L10" s="15" t="n">
        <f aca="false">$E10*G10</f>
        <v>540000</v>
      </c>
      <c r="M10" s="15" t="n">
        <f aca="false">$E10*H10</f>
        <v>216000</v>
      </c>
      <c r="N10" s="15" t="n">
        <f aca="false">$E10*I10</f>
        <v>0</v>
      </c>
      <c r="O10" s="15" t="n">
        <f aca="false">$E10*J10</f>
        <v>0</v>
      </c>
      <c r="P10" s="7" t="s">
        <v>187</v>
      </c>
      <c r="Q10" s="19" t="n">
        <f aca="false">SUM(F10:J10)</f>
        <v>1</v>
      </c>
    </row>
    <row r="11" customFormat="false" ht="15" hidden="false" customHeight="false" outlineLevel="0" collapsed="false">
      <c r="A11" s="5" t="s">
        <v>188</v>
      </c>
      <c r="B11" s="6" t="n">
        <v>3</v>
      </c>
      <c r="C11" s="9" t="n">
        <v>150000</v>
      </c>
      <c r="D11" s="5" t="s">
        <v>172</v>
      </c>
      <c r="E11" s="15" t="n">
        <f aca="false">B11*C11</f>
        <v>450000</v>
      </c>
      <c r="F11" s="8" t="n">
        <v>1</v>
      </c>
      <c r="G11" s="8" t="n">
        <v>0</v>
      </c>
      <c r="H11" s="8" t="n">
        <v>0</v>
      </c>
      <c r="I11" s="8" t="n">
        <v>0</v>
      </c>
      <c r="J11" s="8" t="n">
        <v>0</v>
      </c>
      <c r="K11" s="15" t="n">
        <f aca="false">$E11*F11</f>
        <v>450000</v>
      </c>
      <c r="L11" s="15" t="n">
        <f aca="false">$E11*G11</f>
        <v>0</v>
      </c>
      <c r="M11" s="15" t="n">
        <f aca="false">$E11*H11</f>
        <v>0</v>
      </c>
      <c r="N11" s="15" t="n">
        <f aca="false">$E11*I11</f>
        <v>0</v>
      </c>
      <c r="O11" s="15" t="n">
        <f aca="false">$E11*J11</f>
        <v>0</v>
      </c>
      <c r="P11" s="7" t="s">
        <v>189</v>
      </c>
      <c r="Q11" s="19" t="n">
        <f aca="false">SUM(F11:J11)</f>
        <v>1</v>
      </c>
    </row>
    <row r="12" customFormat="false" ht="15" hidden="false" customHeight="false" outlineLevel="0" collapsed="false">
      <c r="A12" s="5" t="s">
        <v>190</v>
      </c>
      <c r="B12" s="6" t="n">
        <v>6</v>
      </c>
      <c r="C12" s="9" t="n">
        <v>40000</v>
      </c>
      <c r="D12" s="5" t="s">
        <v>172</v>
      </c>
      <c r="E12" s="15" t="n">
        <f aca="false">B12*C12</f>
        <v>240000</v>
      </c>
      <c r="F12" s="8" t="n">
        <v>0.5</v>
      </c>
      <c r="G12" s="8" t="n">
        <v>0.5</v>
      </c>
      <c r="H12" s="8" t="n">
        <v>0</v>
      </c>
      <c r="I12" s="8" t="n">
        <v>0</v>
      </c>
      <c r="J12" s="8" t="n">
        <v>0</v>
      </c>
      <c r="K12" s="15" t="n">
        <f aca="false">$E12*F12</f>
        <v>120000</v>
      </c>
      <c r="L12" s="15" t="n">
        <f aca="false">$E12*G12</f>
        <v>120000</v>
      </c>
      <c r="M12" s="15" t="n">
        <f aca="false">$E12*H12</f>
        <v>0</v>
      </c>
      <c r="N12" s="15" t="n">
        <f aca="false">$E12*I12</f>
        <v>0</v>
      </c>
      <c r="O12" s="15" t="n">
        <f aca="false">$E12*J12</f>
        <v>0</v>
      </c>
      <c r="P12" s="7" t="s">
        <v>191</v>
      </c>
      <c r="Q12" s="19" t="n">
        <f aca="false">SUM(F12:J12)</f>
        <v>1</v>
      </c>
    </row>
    <row r="13" customFormat="false" ht="15" hidden="false" customHeight="false" outlineLevel="0" collapsed="false">
      <c r="A13" s="5" t="s">
        <v>192</v>
      </c>
      <c r="B13" s="6" t="n">
        <v>1</v>
      </c>
      <c r="C13" s="9" t="n">
        <v>400000</v>
      </c>
      <c r="D13" s="5" t="s">
        <v>177</v>
      </c>
      <c r="E13" s="15" t="n">
        <f aca="false">B13*C13</f>
        <v>400000</v>
      </c>
      <c r="F13" s="8" t="n">
        <v>0.6</v>
      </c>
      <c r="G13" s="8" t="n">
        <v>0.4</v>
      </c>
      <c r="H13" s="8" t="n">
        <v>0</v>
      </c>
      <c r="I13" s="8" t="n">
        <v>0</v>
      </c>
      <c r="J13" s="8" t="n">
        <v>0</v>
      </c>
      <c r="K13" s="15" t="n">
        <f aca="false">$E13*F13</f>
        <v>240000</v>
      </c>
      <c r="L13" s="15" t="n">
        <f aca="false">$E13*G13</f>
        <v>160000</v>
      </c>
      <c r="M13" s="15" t="n">
        <f aca="false">$E13*H13</f>
        <v>0</v>
      </c>
      <c r="N13" s="15" t="n">
        <f aca="false">$E13*I13</f>
        <v>0</v>
      </c>
      <c r="O13" s="15" t="n">
        <f aca="false">$E13*J13</f>
        <v>0</v>
      </c>
      <c r="P13" s="7" t="s">
        <v>193</v>
      </c>
      <c r="Q13" s="19" t="n">
        <f aca="false">SUM(F13:J13)</f>
        <v>1</v>
      </c>
    </row>
    <row r="14" customFormat="false" ht="15" hidden="false" customHeight="false" outlineLevel="0" collapsed="false">
      <c r="A14" s="16" t="s">
        <v>194</v>
      </c>
      <c r="E14" s="17" t="n">
        <f aca="false">SUM(E5:E13)</f>
        <v>5990000</v>
      </c>
      <c r="K14" s="17" t="n">
        <f aca="false">SUM(K5:K13)</f>
        <v>4219000</v>
      </c>
      <c r="L14" s="17" t="n">
        <f aca="false">SUM(L5:L13)</f>
        <v>1555000</v>
      </c>
      <c r="M14" s="17" t="n">
        <f aca="false">SUM(M5:M13)</f>
        <v>216000</v>
      </c>
      <c r="N14" s="17" t="n">
        <f aca="false">SUM(N5:N13)</f>
        <v>0</v>
      </c>
      <c r="O14" s="17" t="n">
        <f aca="false">SUM(O5:O13)</f>
        <v>0</v>
      </c>
    </row>
    <row r="15" customFormat="false" ht="15" hidden="false" customHeight="false" outlineLevel="0" collapsed="false">
      <c r="A15" s="2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5"/>
    <col collapsed="false" customWidth="true" hidden="false" outlineLevel="0" max="7" min="7" style="0" width="17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4" t="s">
        <v>198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199</v>
      </c>
      <c r="H4" s="4" t="s">
        <v>132</v>
      </c>
    </row>
    <row r="5" customFormat="false" ht="15" hidden="false" customHeight="false" outlineLevel="0" collapsed="false">
      <c r="A5" s="13" t="s">
        <v>200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5" t="s">
        <v>201</v>
      </c>
      <c r="B6" s="15" t="n">
        <f aca="false">Assumptions!$B$18*Assumptions!$B$14*(Assumptions!$B$6-0)</f>
        <v>108000</v>
      </c>
      <c r="C6" s="15" t="n">
        <f aca="false">Assumptions!$B$18*Assumptions!$B$14*(Assumptions!$C$6-Assumptions!$B$6)</f>
        <v>432000</v>
      </c>
      <c r="D6" s="15" t="n">
        <f aca="false">Assumptions!$B$18*Assumptions!$B$14*(Assumptions!$D$6-Assumptions!$C$6)</f>
        <v>108000</v>
      </c>
      <c r="E6" s="15" t="n">
        <f aca="false">Assumptions!$B$18*Assumptions!$B$14*(Assumptions!$E$6-Assumptions!$D$6)</f>
        <v>0</v>
      </c>
      <c r="F6" s="15" t="n">
        <f aca="false">Assumptions!$B$18*Assumptions!$B$14*(Assumptions!$F$6-Assumptions!$E$6)</f>
        <v>0</v>
      </c>
      <c r="G6" s="15" t="n">
        <f aca="false">SUM(B6:F6)</f>
        <v>648000</v>
      </c>
      <c r="H6" s="7" t="s">
        <v>202</v>
      </c>
    </row>
    <row r="7" customFormat="false" ht="15" hidden="false" customHeight="false" outlineLevel="0" collapsed="false">
      <c r="A7" s="5" t="s">
        <v>36</v>
      </c>
      <c r="B7" s="15" t="n">
        <f aca="false">Assumptions!$B$19*Assumptions!$B$15*Assumptions!$B$14*Assumptions!$B$6*12</f>
        <v>27648</v>
      </c>
      <c r="C7" s="15" t="n">
        <f aca="false">Assumptions!$B$19*Assumptions!$B$15*Assumptions!$B$14*Assumptions!$C$6*12</f>
        <v>138240</v>
      </c>
      <c r="D7" s="15" t="n">
        <f aca="false">Assumptions!$B$19*Assumptions!$B$15*Assumptions!$B$14*Assumptions!$D$6*12</f>
        <v>165888</v>
      </c>
      <c r="E7" s="15" t="n">
        <f aca="false">Assumptions!$B$19*Assumptions!$B$15*Assumptions!$B$14*Assumptions!$E$6*12</f>
        <v>165888</v>
      </c>
      <c r="F7" s="15" t="n">
        <f aca="false">Assumptions!$B$19*Assumptions!$B$15*Assumptions!$B$14*Assumptions!$F$6*12</f>
        <v>165888</v>
      </c>
      <c r="G7" s="15" t="n">
        <f aca="false">SUM(B7:F7)</f>
        <v>663552</v>
      </c>
      <c r="H7" s="7" t="s">
        <v>203</v>
      </c>
    </row>
    <row r="8" customFormat="false" ht="15" hidden="false" customHeight="false" outlineLevel="0" collapsed="false">
      <c r="A8" s="5" t="s">
        <v>204</v>
      </c>
      <c r="B8" s="15" t="n">
        <f aca="false">Assumptions!$B$20*Assumptions!$B$21*Assumptions!$B$6/Assumptions!$B$13</f>
        <v>40000</v>
      </c>
      <c r="C8" s="15" t="n">
        <f aca="false">Assumptions!$B$20*Assumptions!$B$21*Assumptions!$C$6/Assumptions!$B$13</f>
        <v>200000</v>
      </c>
      <c r="D8" s="15" t="n">
        <f aca="false">Assumptions!$B$20*Assumptions!$B$21*Assumptions!$D$6/Assumptions!$B$13</f>
        <v>240000</v>
      </c>
      <c r="E8" s="15" t="n">
        <f aca="false">Assumptions!$B$20*Assumptions!$B$21*Assumptions!$E$6/Assumptions!$B$13</f>
        <v>240000</v>
      </c>
      <c r="F8" s="15" t="n">
        <f aca="false">Assumptions!$B$20*Assumptions!$B$21*Assumptions!$F$6/Assumptions!$B$13</f>
        <v>240000</v>
      </c>
      <c r="G8" s="15" t="n">
        <f aca="false">SUM(B8:F8)</f>
        <v>960000</v>
      </c>
      <c r="H8" s="7" t="s">
        <v>205</v>
      </c>
    </row>
    <row r="9" customFormat="false" ht="15" hidden="false" customHeight="false" outlineLevel="0" collapsed="false">
      <c r="A9" s="5" t="s">
        <v>206</v>
      </c>
      <c r="B9" s="15" t="n">
        <f aca="false">Assumptions!$B$22*Assumptions!$B$6</f>
        <v>20000</v>
      </c>
      <c r="C9" s="15" t="n">
        <f aca="false">Assumptions!$B$22*Assumptions!$C$6</f>
        <v>100000</v>
      </c>
      <c r="D9" s="15" t="n">
        <f aca="false">Assumptions!$B$22*Assumptions!$D$6</f>
        <v>120000</v>
      </c>
      <c r="E9" s="15" t="n">
        <f aca="false">Assumptions!$B$22*Assumptions!$E$6</f>
        <v>120000</v>
      </c>
      <c r="F9" s="15" t="n">
        <f aca="false">Assumptions!$B$22*Assumptions!$F$6</f>
        <v>120000</v>
      </c>
      <c r="G9" s="15" t="n">
        <f aca="false">SUM(B9:F9)</f>
        <v>480000</v>
      </c>
      <c r="H9" s="7" t="s">
        <v>207</v>
      </c>
    </row>
    <row r="10" customFormat="false" ht="15" hidden="false" customHeight="false" outlineLevel="0" collapsed="false">
      <c r="A10" s="5" t="s">
        <v>208</v>
      </c>
      <c r="B10" s="15" t="n">
        <f aca="false">Assumptions!$B$23*12*Assumptions!$B$6</f>
        <v>96000</v>
      </c>
      <c r="C10" s="15" t="n">
        <f aca="false">Assumptions!$B$23*12*Assumptions!$C$6</f>
        <v>480000</v>
      </c>
      <c r="D10" s="15" t="n">
        <f aca="false">Assumptions!$B$23*12*Assumptions!$D$6</f>
        <v>576000</v>
      </c>
      <c r="E10" s="15" t="n">
        <f aca="false">Assumptions!$B$23*12*Assumptions!$E$6</f>
        <v>576000</v>
      </c>
      <c r="F10" s="15" t="n">
        <f aca="false">Assumptions!$B$23*12*Assumptions!$F$6</f>
        <v>576000</v>
      </c>
      <c r="G10" s="15" t="n">
        <f aca="false">SUM(B10:F10)</f>
        <v>2304000</v>
      </c>
      <c r="H10" s="7" t="s">
        <v>209</v>
      </c>
    </row>
    <row r="11" customFormat="false" ht="15" hidden="false" customHeight="false" outlineLevel="0" collapsed="false">
      <c r="A11" s="13" t="s">
        <v>210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5" t="s">
        <v>211</v>
      </c>
      <c r="B12" s="15" t="n">
        <f aca="false">(Assumptions!$B$26+Assumptions!$B$27)*Assumptions!$B$13+Assumptions!$B$28</f>
        <v>486000</v>
      </c>
      <c r="C12" s="15" t="n">
        <f aca="false">(Assumptions!$B$26+Assumptions!$B$27)*Assumptions!$B$13+Assumptions!$B$28</f>
        <v>486000</v>
      </c>
      <c r="D12" s="15" t="n">
        <f aca="false">(Assumptions!$B$26+Assumptions!$B$27)*Assumptions!$B$13+Assumptions!$B$28</f>
        <v>486000</v>
      </c>
      <c r="E12" s="15" t="n">
        <f aca="false">(Assumptions!$B$26+Assumptions!$B$27)*Assumptions!$B$13+Assumptions!$B$28</f>
        <v>486000</v>
      </c>
      <c r="F12" s="15" t="n">
        <f aca="false">(Assumptions!$B$26+Assumptions!$B$27)*Assumptions!$B$13+Assumptions!$B$28</f>
        <v>486000</v>
      </c>
      <c r="G12" s="15" t="n">
        <f aca="false">SUM(B12:F12)</f>
        <v>2430000</v>
      </c>
      <c r="H12" s="7" t="s">
        <v>212</v>
      </c>
    </row>
    <row r="13" customFormat="false" ht="15" hidden="false" customHeight="false" outlineLevel="0" collapsed="false">
      <c r="A13" s="5" t="s">
        <v>213</v>
      </c>
      <c r="B13" s="15" t="n">
        <f aca="false">Assumptions!$B$29</f>
        <v>24000</v>
      </c>
      <c r="C13" s="15" t="n">
        <f aca="false">Assumptions!$B$29</f>
        <v>24000</v>
      </c>
      <c r="D13" s="15" t="n">
        <f aca="false">Assumptions!$B$29</f>
        <v>24000</v>
      </c>
      <c r="E13" s="15" t="n">
        <f aca="false">Assumptions!$B$29</f>
        <v>24000</v>
      </c>
      <c r="F13" s="15" t="n">
        <f aca="false">Assumptions!$B$29</f>
        <v>24000</v>
      </c>
      <c r="G13" s="15" t="n">
        <f aca="false">SUM(B13:F13)</f>
        <v>120000</v>
      </c>
      <c r="H13" s="7" t="s">
        <v>214</v>
      </c>
    </row>
    <row r="14" customFormat="false" ht="15" hidden="false" customHeight="false" outlineLevel="0" collapsed="false">
      <c r="A14" s="13" t="s">
        <v>215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5" t="s">
        <v>216</v>
      </c>
      <c r="B15" s="21" t="n">
        <f aca="false">CloudRunRate!$B$10*Assumptions!$B$6/Assumptions!$B$13</f>
        <v>17850.6367945671</v>
      </c>
      <c r="C15" s="21" t="n">
        <f aca="false">CloudRunRate!$B$10*Assumptions!$C$6/Assumptions!$B$13</f>
        <v>89253.1839728355</v>
      </c>
      <c r="D15" s="21" t="n">
        <f aca="false">CloudRunRate!$B$10*Assumptions!$D$6/Assumptions!$B$13</f>
        <v>107103.820767403</v>
      </c>
      <c r="E15" s="21" t="n">
        <f aca="false">CloudRunRate!$B$10*Assumptions!$E$6/Assumptions!$B$13</f>
        <v>107103.820767403</v>
      </c>
      <c r="F15" s="21" t="n">
        <f aca="false">CloudRunRate!$B$10*Assumptions!$F$6/Assumptions!$B$13</f>
        <v>107103.820767403</v>
      </c>
      <c r="G15" s="15" t="n">
        <f aca="false">SUM(B15:F15)</f>
        <v>428415.283069611</v>
      </c>
      <c r="H15" s="7" t="s">
        <v>217</v>
      </c>
    </row>
    <row r="16" customFormat="false" ht="15" hidden="false" customHeight="false" outlineLevel="0" collapsed="false">
      <c r="A16" s="5" t="s">
        <v>218</v>
      </c>
      <c r="B16" s="21" t="n">
        <f aca="false">CloudRunRate!$B$19</f>
        <v>155000</v>
      </c>
      <c r="C16" s="21" t="n">
        <f aca="false">CloudRunRate!$B$19</f>
        <v>155000</v>
      </c>
      <c r="D16" s="21" t="n">
        <f aca="false">CloudRunRate!$B$19</f>
        <v>155000</v>
      </c>
      <c r="E16" s="21" t="n">
        <f aca="false">CloudRunRate!$B$19</f>
        <v>155000</v>
      </c>
      <c r="F16" s="21" t="n">
        <f aca="false">CloudRunRate!$B$19</f>
        <v>155000</v>
      </c>
      <c r="G16" s="15" t="n">
        <f aca="false">SUM(B16:F16)</f>
        <v>775000</v>
      </c>
      <c r="H16" s="7" t="s">
        <v>214</v>
      </c>
    </row>
    <row r="17" customFormat="false" ht="15" hidden="false" customHeight="false" outlineLevel="0" collapsed="false">
      <c r="A17" s="13" t="s">
        <v>219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5" t="s">
        <v>220</v>
      </c>
      <c r="B18" s="21" t="n">
        <f aca="false">OneTime!K14</f>
        <v>4219000</v>
      </c>
      <c r="C18" s="21" t="n">
        <f aca="false">OneTime!L14</f>
        <v>1555000</v>
      </c>
      <c r="D18" s="21" t="n">
        <f aca="false">OneTime!M14</f>
        <v>216000</v>
      </c>
      <c r="E18" s="21" t="n">
        <f aca="false">OneTime!N14</f>
        <v>0</v>
      </c>
      <c r="F18" s="21" t="n">
        <f aca="false">OneTime!O14</f>
        <v>0</v>
      </c>
      <c r="G18" s="15" t="n">
        <f aca="false">SUM(B18:F18)</f>
        <v>5990000</v>
      </c>
      <c r="H18" s="7" t="s">
        <v>221</v>
      </c>
    </row>
    <row r="19" customFormat="false" ht="15" hidden="false" customHeight="false" outlineLevel="0" collapsed="false">
      <c r="A19" s="16" t="s">
        <v>222</v>
      </c>
      <c r="B19" s="17" t="n">
        <f aca="false">B6+B7+B8+B9+B10+B12+B13+B15+B16+B18</f>
        <v>5193498.63679457</v>
      </c>
      <c r="C19" s="17" t="n">
        <f aca="false">C6+C7+C8+C9+C10+C12+C13+C15+C16+C18</f>
        <v>3659493.18397284</v>
      </c>
      <c r="D19" s="17" t="n">
        <f aca="false">D6+D7+D8+D9+D10+D12+D13+D15+D16+D18</f>
        <v>2197991.8207674</v>
      </c>
      <c r="E19" s="17" t="n">
        <f aca="false">E6+E7+E8+E9+E10+E12+E13+E15+E16+E18</f>
        <v>1873991.8207674</v>
      </c>
      <c r="F19" s="17" t="n">
        <f aca="false">F6+F7+F8+F9+F10+F12+F13+F15+F16+F18</f>
        <v>1873991.8207674</v>
      </c>
      <c r="G19" s="17" t="n">
        <f aca="false">G6+G7+G8+G9+G10+G12+G13+G15+G16+G18</f>
        <v>14798967.2830696</v>
      </c>
    </row>
    <row r="21" customFormat="false" ht="15" hidden="false" customHeight="false" outlineLevel="0" collapsed="false">
      <c r="A21" s="13" t="s">
        <v>223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5" t="s">
        <v>224</v>
      </c>
      <c r="B22" s="15" t="n">
        <f aca="false">Assumptions!$B$51*Assumptions!$B$7</f>
        <v>930000</v>
      </c>
      <c r="C22" s="15" t="n">
        <f aca="false">Assumptions!$B$51*Assumptions!$C$7</f>
        <v>6200000</v>
      </c>
      <c r="D22" s="15" t="n">
        <f aca="false">Assumptions!$B$51*Assumptions!$D$7</f>
        <v>9300000</v>
      </c>
      <c r="E22" s="15" t="n">
        <f aca="false">Assumptions!$B$51*Assumptions!$E$7</f>
        <v>9300000</v>
      </c>
      <c r="F22" s="15" t="n">
        <f aca="false">Assumptions!$B$51*Assumptions!$F$7</f>
        <v>9300000</v>
      </c>
      <c r="G22" s="15" t="n">
        <f aca="false">SUM(B22:F22)</f>
        <v>35030000</v>
      </c>
      <c r="H22" s="7" t="s">
        <v>225</v>
      </c>
    </row>
    <row r="23" customFormat="false" ht="15" hidden="false" customHeight="false" outlineLevel="0" collapsed="false">
      <c r="A23" s="5" t="s">
        <v>226</v>
      </c>
      <c r="B23" s="15" t="n">
        <f aca="false">Assumptions!$B$52*Assumptions!$B$53*Assumptions!$B$8</f>
        <v>0</v>
      </c>
      <c r="C23" s="15" t="n">
        <f aca="false">Assumptions!$B$52*Assumptions!$B$53*Assumptions!$C$8</f>
        <v>720000</v>
      </c>
      <c r="D23" s="15" t="n">
        <f aca="false">Assumptions!$B$52*Assumptions!$B$53*Assumptions!$D$8</f>
        <v>720000</v>
      </c>
      <c r="E23" s="15" t="n">
        <f aca="false">Assumptions!$B$52*Assumptions!$B$53*Assumptions!$E$8</f>
        <v>720000</v>
      </c>
      <c r="F23" s="15" t="n">
        <f aca="false">Assumptions!$B$52*Assumptions!$B$53*Assumptions!$F$8</f>
        <v>720000</v>
      </c>
      <c r="G23" s="15" t="n">
        <f aca="false">SUM(B23:F23)</f>
        <v>2880000</v>
      </c>
      <c r="H23" s="7" t="s">
        <v>227</v>
      </c>
    </row>
    <row r="24" customFormat="false" ht="15" hidden="false" customHeight="false" outlineLevel="0" collapsed="false">
      <c r="A24" s="5" t="s">
        <v>228</v>
      </c>
      <c r="B24" s="15" t="n">
        <f aca="false">Assumptions!$B$54*(Assumptions!$B$55-Assumptions!$B$56)*Assumptions!$B$57*Assumptions!$B$9</f>
        <v>0</v>
      </c>
      <c r="C24" s="15" t="n">
        <f aca="false">Assumptions!$B$54*(Assumptions!$B$55-Assumptions!$B$56)*Assumptions!$B$57*Assumptions!$C$9</f>
        <v>570000</v>
      </c>
      <c r="D24" s="15" t="n">
        <f aca="false">Assumptions!$B$54*(Assumptions!$B$55-Assumptions!$B$56)*Assumptions!$B$57*Assumptions!$D$9</f>
        <v>570000</v>
      </c>
      <c r="E24" s="15" t="n">
        <f aca="false">Assumptions!$B$54*(Assumptions!$B$55-Assumptions!$B$56)*Assumptions!$B$57*Assumptions!$E$9</f>
        <v>570000</v>
      </c>
      <c r="F24" s="15" t="n">
        <f aca="false">Assumptions!$B$54*(Assumptions!$B$55-Assumptions!$B$56)*Assumptions!$B$57*Assumptions!$F$9</f>
        <v>570000</v>
      </c>
      <c r="G24" s="15" t="n">
        <f aca="false">SUM(B24:F24)</f>
        <v>2280000</v>
      </c>
      <c r="H24" s="7" t="s">
        <v>229</v>
      </c>
    </row>
    <row r="25" customFormat="false" ht="15" hidden="false" customHeight="false" outlineLevel="0" collapsed="false">
      <c r="A25" s="16" t="s">
        <v>230</v>
      </c>
      <c r="B25" s="17" t="n">
        <f aca="false">B22+B23+B24</f>
        <v>930000</v>
      </c>
      <c r="C25" s="17" t="n">
        <f aca="false">C22+C23+C24</f>
        <v>7490000</v>
      </c>
      <c r="D25" s="17" t="n">
        <f aca="false">D22+D23+D24</f>
        <v>10590000</v>
      </c>
      <c r="E25" s="17" t="n">
        <f aca="false">E22+E23+E24</f>
        <v>10590000</v>
      </c>
      <c r="F25" s="17" t="n">
        <f aca="false">F22+F23+F24</f>
        <v>10590000</v>
      </c>
      <c r="G25" s="17" t="n">
        <f aca="false">G22+G23+G24</f>
        <v>40190000</v>
      </c>
    </row>
    <row r="27" customFormat="false" ht="15" hidden="false" customHeight="false" outlineLevel="0" collapsed="false">
      <c r="A27" s="16" t="s">
        <v>231</v>
      </c>
      <c r="B27" s="17" t="n">
        <f aca="false">B25-B19</f>
        <v>-4263498.63679457</v>
      </c>
      <c r="C27" s="17" t="n">
        <f aca="false">C25-C19</f>
        <v>3830506.81602716</v>
      </c>
      <c r="D27" s="17" t="n">
        <f aca="false">D25-D19</f>
        <v>8392008.1792326</v>
      </c>
      <c r="E27" s="17" t="n">
        <f aca="false">E25-E19</f>
        <v>8716008.1792326</v>
      </c>
      <c r="F27" s="17" t="n">
        <f aca="false">F25-F19</f>
        <v>8716008.1792326</v>
      </c>
      <c r="G27" s="17" t="n">
        <f aca="false">G25-G19</f>
        <v>25391032.7169304</v>
      </c>
    </row>
    <row r="28" customFormat="false" ht="15" hidden="false" customHeight="false" outlineLevel="0" collapsed="false">
      <c r="A28" s="20" t="s">
        <v>232</v>
      </c>
      <c r="B28" s="22" t="n">
        <f aca="false">B27</f>
        <v>-4263498.63679457</v>
      </c>
      <c r="C28" s="22" t="n">
        <f aca="false">B28+C27</f>
        <v>-432991.820767403</v>
      </c>
      <c r="D28" s="22" t="n">
        <f aca="false">C28+D27</f>
        <v>7959016.3584652</v>
      </c>
      <c r="E28" s="22" t="n">
        <f aca="false">D28+E27</f>
        <v>16675024.5376978</v>
      </c>
      <c r="F28" s="22" t="n">
        <f aca="false">E28+F27</f>
        <v>25391032.7169304</v>
      </c>
    </row>
    <row r="30" customFormat="false" ht="15" hidden="false" customHeight="false" outlineLevel="0" collapsed="false">
      <c r="A30" s="20" t="s">
        <v>233</v>
      </c>
      <c r="D30" s="17" t="n">
        <f aca="false">D19-D18-D6</f>
        <v>1873991.8207674</v>
      </c>
    </row>
    <row r="31" customFormat="false" ht="15" hidden="false" customHeight="false" outlineLevel="0" collapsed="false">
      <c r="A31" s="5" t="s">
        <v>234</v>
      </c>
      <c r="D31" s="15" t="n">
        <f aca="false">D7+D8+D9</f>
        <v>525888</v>
      </c>
    </row>
    <row r="32" customFormat="false" ht="15" hidden="false" customHeight="false" outlineLevel="0" collapsed="false">
      <c r="A32" s="5" t="s">
        <v>235</v>
      </c>
      <c r="D32" s="19" t="n">
        <f aca="false">IFERROR(D31/D30,0)</f>
        <v>0.280624490551217</v>
      </c>
    </row>
    <row r="33" customFormat="false" ht="15" hidden="false" customHeight="false" outlineLevel="0" collapsed="false">
      <c r="A33" s="5" t="s">
        <v>236</v>
      </c>
      <c r="D33" s="23" t="n">
        <f aca="false">IFERROR(D25/D30,0)</f>
        <v>5.65103853850514</v>
      </c>
    </row>
    <row r="34" customFormat="false" ht="15" hidden="false" customHeight="false" outlineLevel="0" collapsed="false">
      <c r="A34" s="5" t="s">
        <v>237</v>
      </c>
      <c r="D34" s="5" t="str">
        <f aca="false">IF(B28&gt;=0,"Y1",IF(C28&gt;=0,"Y2",IF(D28&gt;=0,"Y3",IF(E28&gt;=0,"Y4",IF(F28&gt;=0,"Y5","beyond Y5")))))</f>
        <v>Y3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  <col collapsed="false" customWidth="true" hidden="false" outlineLevel="0" max="7" min="7" style="0" width="17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15" hidden="false" customHeight="false" outlineLevel="0" collapsed="false">
      <c r="A4" s="4" t="s">
        <v>198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199</v>
      </c>
      <c r="H4" s="4" t="s">
        <v>9</v>
      </c>
    </row>
    <row r="5" customFormat="false" ht="15" hidden="false" customHeight="false" outlineLevel="0" collapsed="false">
      <c r="A5" s="20" t="s">
        <v>240</v>
      </c>
      <c r="B5" s="24" t="n">
        <f aca="false">FiveYearTCO!B7+FiveYearTCO!B8+FiveYearTCO!B9</f>
        <v>87648</v>
      </c>
      <c r="C5" s="24" t="n">
        <f aca="false">FiveYearTCO!C7+FiveYearTCO!C8+FiveYearTCO!C9</f>
        <v>438240</v>
      </c>
      <c r="D5" s="24" t="n">
        <f aca="false">FiveYearTCO!D7+FiveYearTCO!D8+FiveYearTCO!D9</f>
        <v>525888</v>
      </c>
      <c r="E5" s="24" t="n">
        <f aca="false">FiveYearTCO!E7+FiveYearTCO!E8+FiveYearTCO!E9</f>
        <v>525888</v>
      </c>
      <c r="F5" s="24" t="n">
        <f aca="false">FiveYearTCO!F7+FiveYearTCO!F8+FiveYearTCO!F9</f>
        <v>525888</v>
      </c>
      <c r="G5" s="22" t="n">
        <f aca="false">SUM(B5:F5)</f>
        <v>2103552</v>
      </c>
      <c r="H5" s="7" t="s">
        <v>241</v>
      </c>
    </row>
    <row r="6" customFormat="false" ht="15" hidden="false" customHeight="false" outlineLevel="0" collapsed="false">
      <c r="A6" s="5" t="s">
        <v>242</v>
      </c>
      <c r="B6" s="15" t="n">
        <f aca="false">Assumptions!$B$61*Assumptions!$B$14*Assumptions!$B$6*12</f>
        <v>43200</v>
      </c>
      <c r="C6" s="15" t="n">
        <f aca="false">Assumptions!$B$61*Assumptions!$B$14*Assumptions!$C$6*12</f>
        <v>216000</v>
      </c>
      <c r="D6" s="15" t="n">
        <f aca="false">Assumptions!$B$61*Assumptions!$B$14*Assumptions!$D$6*12</f>
        <v>259200</v>
      </c>
      <c r="E6" s="15" t="n">
        <f aca="false">Assumptions!$B$61*Assumptions!$B$14*Assumptions!$E$6*12</f>
        <v>259200</v>
      </c>
      <c r="F6" s="15" t="n">
        <f aca="false">Assumptions!$B$61*Assumptions!$B$14*Assumptions!$F$6*12</f>
        <v>259200</v>
      </c>
      <c r="G6" s="15" t="n">
        <f aca="false">SUM(B6:F6)</f>
        <v>1036800</v>
      </c>
      <c r="H6" s="7" t="s">
        <v>243</v>
      </c>
    </row>
    <row r="7" customFormat="false" ht="15" hidden="false" customHeight="false" outlineLevel="0" collapsed="false">
      <c r="A7" s="5" t="s">
        <v>244</v>
      </c>
      <c r="B7" s="15" t="n">
        <f aca="false">Assumptions!$B$62*Assumptions!$B$63*Assumptions!$B$6/Assumptions!$B$13</f>
        <v>2500</v>
      </c>
      <c r="C7" s="15" t="n">
        <f aca="false">Assumptions!$B$62*Assumptions!$B$63*Assumptions!$C$6/Assumptions!$B$13</f>
        <v>12500</v>
      </c>
      <c r="D7" s="15" t="n">
        <f aca="false">Assumptions!$B$62*Assumptions!$B$63*Assumptions!$D$6/Assumptions!$B$13</f>
        <v>15000</v>
      </c>
      <c r="E7" s="15" t="n">
        <f aca="false">Assumptions!$B$62*Assumptions!$B$63*Assumptions!$E$6/Assumptions!$B$13</f>
        <v>15000</v>
      </c>
      <c r="F7" s="15" t="n">
        <f aca="false">Assumptions!$B$62*Assumptions!$B$63*Assumptions!$F$6/Assumptions!$B$13</f>
        <v>15000</v>
      </c>
      <c r="G7" s="15" t="n">
        <f aca="false">SUM(B7:F7)</f>
        <v>60000</v>
      </c>
      <c r="H7" s="7" t="s">
        <v>245</v>
      </c>
    </row>
    <row r="8" customFormat="false" ht="15" hidden="false" customHeight="false" outlineLevel="0" collapsed="false">
      <c r="A8" s="20" t="s">
        <v>246</v>
      </c>
      <c r="B8" s="22" t="n">
        <f aca="false">B6+B7</f>
        <v>45700</v>
      </c>
      <c r="C8" s="22" t="n">
        <f aca="false">C6+C7</f>
        <v>228500</v>
      </c>
      <c r="D8" s="22" t="n">
        <f aca="false">D6+D7</f>
        <v>274200</v>
      </c>
      <c r="E8" s="22" t="n">
        <f aca="false">E6+E7</f>
        <v>274200</v>
      </c>
      <c r="F8" s="22" t="n">
        <f aca="false">F6+F7</f>
        <v>274200</v>
      </c>
      <c r="G8" s="22" t="n">
        <f aca="false">SUM(B8:F8)</f>
        <v>1096800</v>
      </c>
      <c r="H8" s="7" t="s">
        <v>247</v>
      </c>
    </row>
    <row r="10" customFormat="false" ht="15" hidden="false" customHeight="false" outlineLevel="0" collapsed="false">
      <c r="A10" s="20" t="s">
        <v>248</v>
      </c>
      <c r="G10" s="25" t="n">
        <f aca="false">IFERROR(G5/G8,0)</f>
        <v>1.91789934354486</v>
      </c>
    </row>
    <row r="11" customFormat="false" ht="15" hidden="false" customHeight="false" outlineLevel="0" collapsed="false">
      <c r="A11" s="20" t="s">
        <v>249</v>
      </c>
      <c r="G11" s="26" t="n">
        <f aca="false">Assumptions!$B$60</f>
        <v>1.2</v>
      </c>
    </row>
    <row r="12" customFormat="false" ht="15" hidden="false" customHeight="false" outlineLevel="0" collapsed="false">
      <c r="A12" s="20" t="s">
        <v>250</v>
      </c>
      <c r="G12" s="16" t="str">
        <f aca="false">IF(G10&gt;Assumptions!$B$60,"YES — reopen ADR-024","No")</f>
        <v>YES — reopen ADR-024</v>
      </c>
    </row>
    <row r="14" customFormat="false" ht="15" hidden="false" customHeight="false" outlineLevel="0" collapsed="false">
      <c r="A14" s="20" t="s">
        <v>251</v>
      </c>
      <c r="G14" s="27" t="n">
        <f aca="false">IFERROR((G5/Assumptions!$B$60-G7)/(Assumptions!$B$14*SUM(Assumptions!$B$6:$F$6)*12),0)</f>
        <v>979.722222222222</v>
      </c>
      <c r="H14" s="7" t="s">
        <v>252</v>
      </c>
    </row>
    <row r="15" customFormat="false" ht="15" hidden="false" customHeight="false" outlineLevel="0" collapsed="false">
      <c r="A15" s="20" t="s">
        <v>253</v>
      </c>
      <c r="G15" s="15" t="n">
        <f aca="false">IFERROR((G5-G7)/(Assumptions!$B$14*SUM(Assumptions!$B$6:$F$6)*12),0)</f>
        <v>1182.61111111111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2026-09-26T01:04:39Z</dcterms:created>
  <dc:creator>openpyxl</dc:creator>
  <dc:description/>
  <dc:language>en-US</dc:language>
  <cp:lastModifiedBy/>
  <dcterms:modified xsi:type="dcterms:W3CDTF">2026-09-25T21:04:43Z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