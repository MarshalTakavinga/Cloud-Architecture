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latformRunRate" sheetId="2" state="visible" r:id="rId2"/>
    <sheet xmlns:r="http://schemas.openxmlformats.org/officeDocument/2006/relationships" name="AssistantUnitCost" sheetId="3" state="visible" r:id="rId3"/>
    <sheet xmlns:r="http://schemas.openxmlformats.org/officeDocument/2006/relationships" name="OneTime" sheetId="4" state="visible" r:id="rId4"/>
    <sheet xmlns:r="http://schemas.openxmlformats.org/officeDocument/2006/relationships" name="FiveYearTCO" sheetId="5" state="visible" r:id="rId5"/>
    <sheet xmlns:r="http://schemas.openxmlformats.org/officeDocument/2006/relationships" name="NFR11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$#,##0;($#,##0);&quot;-&quot;"/>
    <numFmt numFmtId="167" formatCode="$0.0000;($0.0000);&quot;-&quot;"/>
    <numFmt numFmtId="168" formatCode="#,##0.00;(#,##0.00);&quot;-&quot;"/>
    <numFmt numFmtId="169" formatCode="0.0&quot;x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  <font>
      <name val="Arial"/>
      <color rgb="00008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pivotButton="0" quotePrefix="0" xfId="0"/>
    <xf numFmtId="0" fontId="2" fillId="0" borderId="1" pivotButton="0" quotePrefix="0" xfId="0"/>
    <xf numFmtId="165" fontId="6" fillId="0" borderId="1" pivotButton="0" quotePrefix="0" xfId="0"/>
    <xf numFmtId="165" fontId="6" fillId="3" borderId="1" pivotButton="0" quotePrefix="0" xfId="0"/>
    <xf numFmtId="166" fontId="6" fillId="0" borderId="1" pivotButton="0" quotePrefix="0" xfId="0"/>
    <xf numFmtId="166" fontId="6" fillId="3" borderId="1" pivotButton="0" quotePrefix="0" xfId="0"/>
    <xf numFmtId="166" fontId="5" fillId="0" borderId="1" pivotButton="0" quotePrefix="0" xfId="0"/>
    <xf numFmtId="164" fontId="6" fillId="3" borderId="1" pivotButton="0" quotePrefix="0" xfId="0"/>
    <xf numFmtId="167" fontId="6" fillId="0" borderId="1" pivotButton="0" quotePrefix="0" xfId="0"/>
    <xf numFmtId="168" fontId="6" fillId="0" borderId="1" pivotButton="0" quotePrefix="0" xfId="0"/>
    <xf numFmtId="168" fontId="6" fillId="3" borderId="1" pivotButton="0" quotePrefix="0" xfId="0"/>
    <xf numFmtId="0" fontId="7" fillId="4" borderId="1" pivotButton="0" quotePrefix="0" xfId="0"/>
    <xf numFmtId="166" fontId="7" fillId="4" borderId="1" pivotButton="0" quotePrefix="0" xfId="0"/>
    <xf numFmtId="165" fontId="5" fillId="0" borderId="1" pivotButton="0" quotePrefix="0" xfId="0"/>
    <xf numFmtId="0" fontId="7" fillId="5" borderId="1" pivotButton="0" quotePrefix="0" xfId="0"/>
    <xf numFmtId="167" fontId="5" fillId="0" borderId="1" pivotButton="0" quotePrefix="0" xfId="0"/>
    <xf numFmtId="167" fontId="7" fillId="4" borderId="1" pivotButton="0" quotePrefix="0" xfId="0"/>
    <xf numFmtId="164" fontId="5" fillId="0" borderId="1" pivotButton="0" quotePrefix="0" xfId="0"/>
    <xf numFmtId="0" fontId="7" fillId="0" borderId="1" pivotButton="0" quotePrefix="0" xfId="0"/>
    <xf numFmtId="167" fontId="7" fillId="0" borderId="1" pivotButton="0" quotePrefix="0" xfId="0"/>
    <xf numFmtId="0" fontId="6" fillId="0" borderId="1" pivotButton="0" quotePrefix="0" xfId="0"/>
    <xf numFmtId="166" fontId="8" fillId="0" borderId="1" pivotButton="0" quotePrefix="0" xfId="0"/>
    <xf numFmtId="166" fontId="7" fillId="0" borderId="1" pivotButton="0" quotePrefix="0" xfId="0"/>
    <xf numFmtId="165" fontId="7" fillId="4" borderId="1" pivotButton="0" quotePrefix="0" xfId="0"/>
    <xf numFmtId="169" fontId="7" fillId="4" borderId="1" pivotButton="0" quotePrefix="0" xfId="0"/>
    <xf numFmtId="169" fontId="5" fillId="0" borderId="1" pivotButton="0" quotePrefix="0" xfId="0"/>
    <xf numFmtId="168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platform: status quo vs. target (illustrative)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'FiveYearTCO'!A11</f>
            </strRef>
          </tx>
          <spPr>
            <a:ln xmlns:a="http://schemas.openxmlformats.org/drawingml/2006/main">
              <a:prstDash val="solid"/>
            </a:ln>
          </spPr>
          <cat>
            <numRef>
              <f>'FiveYearTCO'!$B$4:$F$4</f>
            </numRef>
          </cat>
          <val>
            <numRef>
              <f>'FiveYearTCO'!$B$11:$F$11</f>
            </numRef>
          </val>
        </ser>
        <ser>
          <idx val="1"/>
          <order val="1"/>
          <tx>
            <strRef>
              <f>'FiveYearTCO'!A25</f>
            </strRef>
          </tx>
          <spPr>
            <a:ln xmlns:a="http://schemas.openxmlformats.org/drawingml/2006/main">
              <a:prstDash val="solid"/>
            </a:ln>
          </spPr>
          <cat>
            <numRef>
              <f>'FiveYearTCO'!$B$4:$F$4</f>
            </numRef>
          </cat>
          <val>
            <numRef>
              <f>'FiveYearTCO'!$B$25:$F$25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78" customWidth="1" min="7" max="7"/>
  </cols>
  <sheetData>
    <row r="1">
      <c r="A1" s="1" t="inlineStr">
        <is>
          <t>Harborline Mutual — TCO, FinOps and Value Assumptions (ILLUSTRATIVE)</t>
        </is>
      </c>
    </row>
    <row r="2">
      <c r="A2" s="2" t="inlineStr">
        <is>
          <t>Legend: blue = input you can change · black = formula · green = link to another sheet · yellow fill = quote-based or key assumption to replace. Year 1 = Oct 2026–Sep 2027 (M1–M12).</t>
        </is>
      </c>
    </row>
    <row r="4">
      <c r="A4" s="3" t="inlineStr">
        <is>
          <t>Timeline drivers (from docs/migration-roadmap.md)</t>
        </is>
      </c>
    </row>
    <row r="5">
      <c r="A5" s="4" t="inlineStr">
        <is>
          <t>Driver</t>
        </is>
      </c>
      <c r="B5" s="4" t="inlineStr">
        <is>
          <t>Y1</t>
        </is>
      </c>
      <c r="C5" s="4" t="inlineStr">
        <is>
          <t>Y2</t>
        </is>
      </c>
      <c r="D5" s="4" t="inlineStr">
        <is>
          <t>Y3</t>
        </is>
      </c>
      <c r="E5" s="4" t="inlineStr">
        <is>
          <t>Y4</t>
        </is>
      </c>
      <c r="F5" s="4" t="inlineStr">
        <is>
          <t>Y5</t>
        </is>
      </c>
      <c r="G5" s="4" t="inlineStr">
        <is>
          <t>Basis</t>
        </is>
      </c>
    </row>
    <row r="6">
      <c r="A6" s="5" t="inlineStr">
        <is>
          <t>Teradata months at current contract rate</t>
        </is>
      </c>
      <c r="B6" s="6" t="n">
        <v>9</v>
      </c>
      <c r="C6" s="6" t="n">
        <v>0</v>
      </c>
      <c r="D6" s="6" t="n">
        <v>0</v>
      </c>
      <c r="E6" s="6" t="n">
        <v>0</v>
      </c>
      <c r="F6" s="6" t="n">
        <v>0</v>
      </c>
      <c r="G6" s="7" t="inlineStr">
        <is>
          <t>Oct 2026 – Jun 2027: term ends 30 Jun 2027 (M9)</t>
        </is>
      </c>
    </row>
    <row r="7">
      <c r="A7" s="5" t="inlineStr">
        <is>
          <t>Teradata months on the one-year bridge (+25%)</t>
        </is>
      </c>
      <c r="B7" s="6" t="n">
        <v>3</v>
      </c>
      <c r="C7" s="6" t="n">
        <v>9</v>
      </c>
      <c r="D7" s="6" t="n">
        <v>0</v>
      </c>
      <c r="E7" s="6" t="n">
        <v>0</v>
      </c>
      <c r="F7" s="6" t="n">
        <v>0</v>
      </c>
      <c r="G7" s="7" t="inlineStr">
        <is>
          <t>ADR-028: bridge Jul 2027 – Jun 2028. Paid to term end even though switch-off is May 2028 (M20)</t>
        </is>
      </c>
    </row>
    <row r="8">
      <c r="A8" s="5" t="inlineStr">
        <is>
          <t>Informatica PowerCenter months licensed</t>
        </is>
      </c>
      <c r="B8" s="6" t="n">
        <v>12</v>
      </c>
      <c r="C8" s="6" t="n">
        <v>8</v>
      </c>
      <c r="D8" s="6" t="n">
        <v>0</v>
      </c>
      <c r="E8" s="6" t="n">
        <v>0</v>
      </c>
      <c r="F8" s="6" t="n">
        <v>0</v>
      </c>
      <c r="G8" s="7" t="inlineStr">
        <is>
          <t>Switched off with Teradata in May 2028 (M20). Assumes co-termination is negotiable (yellow input below)</t>
        </is>
      </c>
    </row>
    <row r="9">
      <c r="A9" s="5" t="inlineStr">
        <is>
          <t>SAS licence share still paid</t>
        </is>
      </c>
      <c r="B9" s="8" t="n">
        <v>1</v>
      </c>
      <c r="C9" s="8" t="n">
        <v>0.75</v>
      </c>
      <c r="D9" s="8" t="n">
        <v>0</v>
      </c>
      <c r="E9" s="8" t="n">
        <v>0</v>
      </c>
      <c r="F9" s="8" t="n">
        <v>0</v>
      </c>
      <c r="G9" s="7" t="inlineStr">
        <is>
          <t>Phase 8: desktop seats step down as programs port from M9; grid kept until reserving ports; retired M24</t>
        </is>
      </c>
    </row>
    <row r="10">
      <c r="A10" s="5" t="inlineStr">
        <is>
          <t>Data-center hosting share still paid</t>
        </is>
      </c>
      <c r="B10" s="8" t="n">
        <v>1</v>
      </c>
      <c r="C10" s="8" t="n">
        <v>0.7</v>
      </c>
      <c r="D10" s="8" t="n">
        <v>0</v>
      </c>
      <c r="E10" s="8" t="n">
        <v>0</v>
      </c>
      <c r="F10" s="8" t="n">
        <v>0</v>
      </c>
      <c r="G10" s="7" t="inlineStr">
        <is>
          <t>Falls away with the appliance (M20) and the SAS grid (M24)</t>
        </is>
      </c>
    </row>
    <row r="11">
      <c r="A11" s="5" t="inlineStr">
        <is>
          <t>Status quo: appliance refresh (1 = in this year)</t>
        </is>
      </c>
      <c r="B11" s="6" t="n">
        <v>1</v>
      </c>
      <c r="C11" s="6" t="n">
        <v>0</v>
      </c>
      <c r="D11" s="6" t="n">
        <v>0</v>
      </c>
      <c r="E11" s="6" t="n">
        <v>0</v>
      </c>
      <c r="F11" s="6" t="n">
        <v>0</v>
      </c>
      <c r="G11" s="7" t="inlineStr">
        <is>
          <t>current-state.md §6: ~$6.0M one-time refresh if Teradata is renewed</t>
        </is>
      </c>
    </row>
    <row r="12">
      <c r="A12" s="5" t="inlineStr">
        <is>
          <t>GCP data platform live (share of steady-state run)</t>
        </is>
      </c>
      <c r="B12" s="8" t="n">
        <v>0.4</v>
      </c>
      <c r="C12" s="8" t="n">
        <v>0.9</v>
      </c>
      <c r="D12" s="8" t="n">
        <v>1</v>
      </c>
      <c r="E12" s="8" t="n">
        <v>1</v>
      </c>
      <c r="F12" s="8" t="n">
        <v>1</v>
      </c>
      <c r="G12" s="7" t="inlineStr">
        <is>
          <t>Phase 0 foundation + claims domain in Y1; policy, reserving, regulatory in Y2</t>
        </is>
      </c>
    </row>
    <row r="13">
      <c r="A13" s="5" t="inlineStr">
        <is>
          <t>Dual-run migration reservation (avg slots)</t>
        </is>
      </c>
      <c r="B13" s="6" t="n">
        <v>300</v>
      </c>
      <c r="C13" s="6" t="n">
        <v>300</v>
      </c>
      <c r="D13" s="6" t="n">
        <v>0</v>
      </c>
      <c r="E13" s="6" t="n">
        <v>0</v>
      </c>
      <c r="F13" s="6" t="n">
        <v>0</v>
      </c>
      <c r="G13" s="7" t="inlineStr">
        <is>
          <t>ADR-030: dedicated migration reservation while domains dual-run (to M18)</t>
        </is>
      </c>
    </row>
    <row r="14">
      <c r="A14" s="5" t="inlineStr">
        <is>
          <t>Assistant average active users</t>
        </is>
      </c>
      <c r="B14" s="6" t="n">
        <v>808</v>
      </c>
      <c r="C14" s="6" t="n">
        <v>4358</v>
      </c>
      <c r="D14" s="6" t="n">
        <v>4400</v>
      </c>
      <c r="E14" s="6" t="n">
        <v>4400</v>
      </c>
      <c r="F14" s="6" t="n">
        <v>4400</v>
      </c>
      <c r="G14" s="7" t="inlineStr">
        <is>
          <t>Pilot 300 (Mar–May 2027) + scale ramp Jun–Sep → 9,700 user-months in Y1; full 4,400 from Nov 2027</t>
        </is>
      </c>
    </row>
    <row r="15">
      <c r="A15" s="5" t="inlineStr">
        <is>
          <t>Assistant fixed infrastructure share</t>
        </is>
      </c>
      <c r="B15" s="8" t="n">
        <v>0.5</v>
      </c>
      <c r="C15" s="8" t="n">
        <v>1</v>
      </c>
      <c r="D15" s="8" t="n">
        <v>1</v>
      </c>
      <c r="E15" s="8" t="n">
        <v>1</v>
      </c>
      <c r="F15" s="8" t="n">
        <v>1</v>
      </c>
      <c r="G15" s="7" t="inlineStr">
        <is>
          <t>Pilot-scope hot tier and gateway from M3–M6; full sizing from Y2</t>
        </is>
      </c>
    </row>
    <row r="16">
      <c r="A16" s="5" t="inlineStr">
        <is>
          <t>Assistant run-team share</t>
        </is>
      </c>
      <c r="B16" s="8" t="n">
        <v>0.75</v>
      </c>
      <c r="C16" s="8" t="n">
        <v>1</v>
      </c>
      <c r="D16" s="8" t="n">
        <v>1</v>
      </c>
      <c r="E16" s="8" t="n">
        <v>1</v>
      </c>
      <c r="F16" s="8" t="n">
        <v>1</v>
      </c>
      <c r="G16" s="7" t="inlineStr">
        <is>
          <t>Team stands up at M3 (Phase 1)</t>
        </is>
      </c>
    </row>
    <row r="17">
      <c r="A17" s="5" t="inlineStr">
        <is>
          <t>Search-time reduction achieved (claims staff)</t>
        </is>
      </c>
      <c r="B17" s="9" t="n">
        <v>0.15</v>
      </c>
      <c r="C17" s="9" t="n">
        <v>0.25</v>
      </c>
      <c r="D17" s="9" t="n">
        <v>0.25</v>
      </c>
      <c r="E17" s="9" t="n">
        <v>0.25</v>
      </c>
      <c r="F17" s="9" t="n">
        <v>0.25</v>
      </c>
      <c r="G17" s="7" t="inlineStr">
        <is>
          <t>ASSUMPTION — no target is stated in requirements.md; A2 measures it in the pilot</t>
        </is>
      </c>
    </row>
    <row r="19">
      <c r="A19" s="3" t="inlineStr">
        <is>
          <t>Legacy estate (current-state.md §6)</t>
        </is>
      </c>
    </row>
    <row r="20">
      <c r="A20" s="4" t="inlineStr">
        <is>
          <t>Input</t>
        </is>
      </c>
      <c r="B20" s="4" t="inlineStr">
        <is>
          <t>Value</t>
        </is>
      </c>
      <c r="C20" s="4" t="inlineStr">
        <is>
          <t>Unit</t>
        </is>
      </c>
      <c r="D20" s="4" t="inlineStr"/>
      <c r="E20" s="4" t="inlineStr"/>
      <c r="F20" s="4" t="inlineStr"/>
      <c r="G20" s="4" t="inlineStr">
        <is>
          <t>Basis / source</t>
        </is>
      </c>
    </row>
    <row r="21">
      <c r="A21" s="5" t="inlineStr">
        <is>
          <t>Teradata licence and support</t>
        </is>
      </c>
      <c r="B21" s="10" t="n">
        <v>3900000</v>
      </c>
      <c r="C21" s="5" t="inlineStr">
        <is>
          <t>$ / yr</t>
        </is>
      </c>
      <c r="G21" s="7" t="inlineStr">
        <is>
          <t>current-state.md</t>
        </is>
      </c>
    </row>
    <row r="22">
      <c r="A22" s="5" t="inlineStr">
        <is>
          <t>Bridge-extension uplift</t>
        </is>
      </c>
      <c r="B22" s="8" t="n">
        <v>0.25</v>
      </c>
      <c r="C22" s="5" t="inlineStr">
        <is>
          <t>%</t>
        </is>
      </c>
      <c r="G22" s="7" t="inlineStr">
        <is>
          <t>requirements.md: one-year bridge at +25%</t>
        </is>
      </c>
    </row>
    <row r="23">
      <c r="A23" s="5" t="inlineStr">
        <is>
          <t>Extended hardware support for the ageing appliance</t>
        </is>
      </c>
      <c r="B23" s="11" t="n">
        <v>250000</v>
      </c>
      <c r="C23" s="5" t="inlineStr">
        <is>
          <t>$ / bridge-yr</t>
        </is>
      </c>
      <c r="G23" s="7" t="inlineStr">
        <is>
          <t>ILLUSTRATIVE — ADR-028 negotiating term; quote-based</t>
        </is>
      </c>
    </row>
    <row r="24">
      <c r="A24" s="5" t="inlineStr">
        <is>
          <t>SAS licences (grid + desktop)</t>
        </is>
      </c>
      <c r="B24" s="10" t="n">
        <v>1400000</v>
      </c>
      <c r="C24" s="5" t="inlineStr">
        <is>
          <t>$ / yr</t>
        </is>
      </c>
      <c r="G24" s="7" t="inlineStr">
        <is>
          <t>current-state.md</t>
        </is>
      </c>
    </row>
    <row r="25">
      <c r="A25" s="5" t="inlineStr">
        <is>
          <t>Informatica PowerCenter licence and support</t>
        </is>
      </c>
      <c r="B25" s="11" t="n">
        <v>900000</v>
      </c>
      <c r="C25" s="5" t="inlineStr">
        <is>
          <t>$ / yr</t>
        </is>
      </c>
      <c r="G25" s="7" t="inlineStr">
        <is>
          <t>current-state.md. Month-by-month exit assumes co-termination — confirm contract</t>
        </is>
      </c>
    </row>
    <row r="26">
      <c r="A26" s="5" t="inlineStr">
        <is>
          <t>Data-center hosting share</t>
        </is>
      </c>
      <c r="B26" s="10" t="n">
        <v>600000</v>
      </c>
      <c r="C26" s="5" t="inlineStr">
        <is>
          <t>$ / yr</t>
        </is>
      </c>
      <c r="G26" s="7" t="inlineStr">
        <is>
          <t>current-state.md</t>
        </is>
      </c>
    </row>
    <row r="27">
      <c r="A27" s="5" t="inlineStr">
        <is>
          <t>Teradata appliance refresh (status quo only)</t>
        </is>
      </c>
      <c r="B27" s="10" t="n">
        <v>6000000</v>
      </c>
      <c r="C27" s="5" t="inlineStr">
        <is>
          <t>$ one-time</t>
        </is>
      </c>
      <c r="G27" s="7" t="inlineStr">
        <is>
          <t>current-state.md</t>
        </is>
      </c>
    </row>
    <row r="28">
      <c r="A28" s="5" t="inlineStr">
        <is>
          <t>Legacy data-platform run baseline (NFR-11)</t>
        </is>
      </c>
      <c r="B28" s="12">
        <f>B21+B24+B25+B26</f>
        <v/>
      </c>
      <c r="C28" s="5" t="inlineStr">
        <is>
          <t>$ / yr</t>
        </is>
      </c>
      <c r="G28" s="7" t="inlineStr">
        <is>
          <t>Sum of the four recurring lines = $6.8M</t>
        </is>
      </c>
    </row>
    <row r="29">
      <c r="A29" s="3" t="inlineStr">
        <is>
          <t>GCP data platform — steady state (gcp-implementation.md, ADR-021/026)</t>
        </is>
      </c>
    </row>
    <row r="30">
      <c r="A30" s="4" t="inlineStr">
        <is>
          <t>Input</t>
        </is>
      </c>
      <c r="B30" s="4" t="inlineStr">
        <is>
          <t>Value</t>
        </is>
      </c>
      <c r="C30" s="4" t="inlineStr">
        <is>
          <t>Unit</t>
        </is>
      </c>
      <c r="D30" s="4" t="inlineStr"/>
      <c r="E30" s="4" t="inlineStr"/>
      <c r="F30" s="4" t="inlineStr"/>
      <c r="G30" s="4" t="inlineStr">
        <is>
          <t>Basis / source</t>
        </is>
      </c>
    </row>
    <row r="31">
      <c r="A31" s="5" t="inlineStr">
        <is>
          <t>BigQuery Enterprise baseline reservation (ELT, BI, data science)</t>
        </is>
      </c>
      <c r="B31" s="13" t="n">
        <v>1200</v>
      </c>
      <c r="C31" s="5" t="inlineStr">
        <is>
          <t>slots</t>
        </is>
      </c>
      <c r="G31" s="7" t="inlineStr">
        <is>
          <t>ILLUSTRATIVE sizing; reservations per workload project (ADR-026)</t>
        </is>
      </c>
    </row>
    <row r="32">
      <c r="A32" s="5" t="inlineStr">
        <is>
          <t>BigQuery Enterprise, 1-year commitment</t>
        </is>
      </c>
      <c r="B32" s="14" t="n">
        <v>0.054</v>
      </c>
      <c r="C32" s="5" t="inlineStr">
        <is>
          <t>$ / slot-hr</t>
        </is>
      </c>
      <c r="G32" s="7" t="inlineStr">
        <is>
          <t>Google list price, US, Sept 2026</t>
        </is>
      </c>
    </row>
    <row r="33">
      <c r="A33" s="5" t="inlineStr">
        <is>
          <t>BigQuery Enterprise Plus reservation (reserving, regulatory; managed DR)</t>
        </is>
      </c>
      <c r="B33" s="13" t="n">
        <v>300</v>
      </c>
      <c r="C33" s="5" t="inlineStr">
        <is>
          <t>slots</t>
        </is>
      </c>
      <c r="G33" s="7" t="inlineStr">
        <is>
          <t>ILLUSTRATIVE; Enterprise Plus for managed disaster recovery (NFR-9)</t>
        </is>
      </c>
    </row>
    <row r="34">
      <c r="A34" s="5" t="inlineStr">
        <is>
          <t>BigQuery Enterprise Plus, 1-year commitment</t>
        </is>
      </c>
      <c r="B34" s="14" t="n">
        <v>0.09</v>
      </c>
      <c r="C34" s="5" t="inlineStr">
        <is>
          <t>$ / slot-hr</t>
        </is>
      </c>
      <c r="G34" s="7" t="inlineStr">
        <is>
          <t>Google list price, US, Sept 2026</t>
        </is>
      </c>
    </row>
    <row r="35">
      <c r="A35" s="5" t="inlineStr">
        <is>
          <t>Autoscale slots above baselines (average)</t>
        </is>
      </c>
      <c r="B35" s="13" t="n">
        <v>400</v>
      </c>
      <c r="C35" s="5" t="inlineStr">
        <is>
          <t>slots</t>
        </is>
      </c>
      <c r="G35" s="7" t="inlineStr">
        <is>
          <t>ILLUSTRATIVE — close-week and month-end peaks</t>
        </is>
      </c>
    </row>
    <row r="36">
      <c r="A36" s="5" t="inlineStr">
        <is>
          <t>BigQuery Enterprise, pay-as-you-go (autoscale)</t>
        </is>
      </c>
      <c r="B36" s="14" t="n">
        <v>0.06</v>
      </c>
      <c r="C36" s="5" t="inlineStr">
        <is>
          <t>$ / slot-hr</t>
        </is>
      </c>
      <c r="G36" s="7" t="inlineStr">
        <is>
          <t>Google list price, US, Sept 2026</t>
        </is>
      </c>
    </row>
    <row r="37">
      <c r="A37" s="5" t="inlineStr">
        <is>
          <t>BI Engine reservation for Tableau</t>
        </is>
      </c>
      <c r="B37" s="6" t="n">
        <v>100</v>
      </c>
      <c r="C37" s="5" t="inlineStr">
        <is>
          <t>GiB</t>
        </is>
      </c>
      <c r="G37" s="7" t="inlineStr">
        <is>
          <t>ILLUSTRATIVE</t>
        </is>
      </c>
    </row>
    <row r="38">
      <c r="A38" s="5" t="inlineStr">
        <is>
          <t>BI Engine price</t>
        </is>
      </c>
      <c r="B38" s="14" t="n">
        <v>0.0416</v>
      </c>
      <c r="C38" s="5" t="inlineStr">
        <is>
          <t>$ / GiB-hr</t>
        </is>
      </c>
      <c r="G38" s="7" t="inlineStr">
        <is>
          <t>ILLUSTRATIVE list-price basis</t>
        </is>
      </c>
    </row>
    <row r="39">
      <c r="A39" s="5" t="inlineStr">
        <is>
          <t>Raw data estate today</t>
        </is>
      </c>
      <c r="B39" s="6" t="n">
        <v>450</v>
      </c>
      <c r="C39" s="5" t="inlineStr">
        <is>
          <t>TB</t>
        </is>
      </c>
      <c r="G39" s="7" t="inlineStr">
        <is>
          <t>NFR-10</t>
        </is>
      </c>
    </row>
    <row r="40">
      <c r="A40" s="5" t="inlineStr">
        <is>
          <t>Data growth</t>
        </is>
      </c>
      <c r="B40" s="8" t="n">
        <v>0.2</v>
      </c>
      <c r="C40" s="5" t="inlineStr">
        <is>
          <t>% / yr</t>
        </is>
      </c>
      <c r="G40" s="7" t="inlineStr">
        <is>
          <t>NFR-10</t>
        </is>
      </c>
    </row>
    <row r="41">
      <c r="A41" s="5" t="inlineStr">
        <is>
          <t>Billable storage per raw TB (compression vs. bronze/silver/gold + time travel)</t>
        </is>
      </c>
      <c r="B41" s="15" t="n">
        <v>0.8</v>
      </c>
      <c r="C41" s="5" t="inlineStr">
        <is>
          <t>×</t>
        </is>
      </c>
      <c r="G41" s="7" t="inlineStr">
        <is>
          <t>ASSUMPTION: ~3:1 compression offset by three layers</t>
        </is>
      </c>
    </row>
    <row r="42">
      <c r="A42" s="5" t="inlineStr">
        <is>
          <t>Cloud Storage Standard (Iceberg data files)</t>
        </is>
      </c>
      <c r="B42" s="14" t="n">
        <v>0.023</v>
      </c>
      <c r="C42" s="5" t="inlineStr">
        <is>
          <t>$ / GB-month</t>
        </is>
      </c>
      <c r="G42" s="7" t="inlineStr">
        <is>
          <t>ILLUSTRATIVE list-price basis; Iceberg-managed tables store data in Cloud Storage</t>
        </is>
      </c>
    </row>
    <row r="43">
      <c r="A43" s="5" t="inlineStr">
        <is>
          <t>Datastream CDC volume (Guidewire Oracle)</t>
        </is>
      </c>
      <c r="B43" s="6" t="n">
        <v>2000</v>
      </c>
      <c r="C43" s="5" t="inlineStr">
        <is>
          <t>GB / month</t>
        </is>
      </c>
      <c r="G43" s="7" t="inlineStr">
        <is>
          <t>ILLUSTRATIVE</t>
        </is>
      </c>
    </row>
    <row r="44">
      <c r="A44" s="5" t="inlineStr">
        <is>
          <t>Datastream CDC price</t>
        </is>
      </c>
      <c r="B44" s="15" t="n">
        <v>2</v>
      </c>
      <c r="C44" s="5" t="inlineStr">
        <is>
          <t>$ / GB</t>
        </is>
      </c>
      <c r="G44" s="7" t="inlineStr">
        <is>
          <t>ILLUSTRATIVE list-price basis (first volume tier)</t>
        </is>
      </c>
    </row>
    <row r="45">
      <c r="A45" s="5" t="inlineStr">
        <is>
          <t>Dataflow (batch files, vendor feeds, document chunker)</t>
        </is>
      </c>
      <c r="B45" s="10" t="n">
        <v>60000</v>
      </c>
      <c r="C45" s="5" t="inlineStr">
        <is>
          <t>$ / yr</t>
        </is>
      </c>
      <c r="G45" s="7" t="inlineStr">
        <is>
          <t>ILLUSTRATIVE</t>
        </is>
      </c>
    </row>
    <row r="46">
      <c r="A46" s="5" t="inlineStr">
        <is>
          <t>Colab Enterprise / serverless Spark (actuarial, data science)</t>
        </is>
      </c>
      <c r="B46" s="10" t="n">
        <v>90000</v>
      </c>
      <c r="C46" s="5" t="inlineStr">
        <is>
          <t>$ / yr</t>
        </is>
      </c>
      <c r="G46" s="7" t="inlineStr">
        <is>
          <t>ILLUSTRATIVE — replaces SAS compute</t>
        </is>
      </c>
    </row>
    <row r="47">
      <c r="A47" s="5" t="inlineStr">
        <is>
          <t>Dataplex Universal Catalog + lineage</t>
        </is>
      </c>
      <c r="B47" s="10" t="n">
        <v>40000</v>
      </c>
      <c r="C47" s="5" t="inlineStr">
        <is>
          <t>$ / yr</t>
        </is>
      </c>
      <c r="G47" s="7" t="inlineStr">
        <is>
          <t>ILLUSTRATIVE</t>
        </is>
      </c>
    </row>
    <row r="48">
      <c r="A48" s="5" t="inlineStr">
        <is>
          <t>Sensitive Data Protection discovery</t>
        </is>
      </c>
      <c r="B48" s="10" t="n">
        <v>45000</v>
      </c>
      <c r="C48" s="5" t="inlineStr">
        <is>
          <t>$ / yr</t>
        </is>
      </c>
      <c r="G48" s="7" t="inlineStr">
        <is>
          <t>ILLUSTRATIVE</t>
        </is>
      </c>
    </row>
    <row r="49">
      <c r="A49" s="5" t="inlineStr">
        <is>
          <t>Dedicated Interconnect (redundant ports, cross-connects, carrier)</t>
        </is>
      </c>
      <c r="B49" s="11" t="n">
        <v>120000</v>
      </c>
      <c r="C49" s="5" t="inlineStr">
        <is>
          <t>$ / yr</t>
        </is>
      </c>
      <c r="G49" s="7" t="inlineStr">
        <is>
          <t>ILLUSTRATIVE — ADR-026</t>
        </is>
      </c>
    </row>
    <row r="50">
      <c r="A50" s="5" t="inlineStr">
        <is>
          <t>Cloud Logging / Monitoring</t>
        </is>
      </c>
      <c r="B50" s="10" t="n">
        <v>60000</v>
      </c>
      <c r="C50" s="5" t="inlineStr">
        <is>
          <t>$ / yr</t>
        </is>
      </c>
      <c r="G50" s="7" t="inlineStr">
        <is>
          <t>ILLUSTRATIVE</t>
        </is>
      </c>
    </row>
    <row r="51">
      <c r="A51" s="5" t="inlineStr">
        <is>
          <t>Security Command Center, KMS/CMEK, Cloud Armor</t>
        </is>
      </c>
      <c r="B51" s="10" t="n">
        <v>90000</v>
      </c>
      <c r="C51" s="5" t="inlineStr">
        <is>
          <t>$ / yr</t>
        </is>
      </c>
      <c r="G51" s="7" t="inlineStr">
        <is>
          <t>ILLUSTRATIVE</t>
        </is>
      </c>
    </row>
    <row r="52">
      <c r="A52" s="5" t="inlineStr">
        <is>
          <t>Archive + regulatory export buckets</t>
        </is>
      </c>
      <c r="B52" s="10" t="n">
        <v>10000</v>
      </c>
      <c r="C52" s="5" t="inlineStr">
        <is>
          <t>$ / yr</t>
        </is>
      </c>
      <c r="G52" s="7" t="inlineStr">
        <is>
          <t>ILLUSTRATIVE</t>
        </is>
      </c>
    </row>
    <row r="53">
      <c r="A53" s="5" t="inlineStr">
        <is>
          <t>Google Cloud support</t>
        </is>
      </c>
      <c r="B53" s="9" t="n">
        <v>0.04</v>
      </c>
      <c r="C53" s="5" t="inlineStr">
        <is>
          <t>% of platform spend</t>
        </is>
      </c>
      <c r="G53" s="7" t="inlineStr">
        <is>
          <t>ILLUSTRATIVE — premium-class support</t>
        </is>
      </c>
    </row>
    <row r="54">
      <c r="A54" s="5" t="inlineStr">
        <is>
          <t>Dual-run reservation price (pay-as-you-go)</t>
        </is>
      </c>
      <c r="B54" s="14" t="n">
        <v>0.06</v>
      </c>
      <c r="C54" s="5" t="inlineStr">
        <is>
          <t>$ / slot-hr</t>
        </is>
      </c>
      <c r="G54" s="7" t="inlineStr">
        <is>
          <t>Enterprise PAYG: temporary, no commitment</t>
        </is>
      </c>
    </row>
    <row r="55">
      <c r="A55" s="5" t="inlineStr">
        <is>
          <t>FinOps analyst, loaded (ADR-008)</t>
        </is>
      </c>
      <c r="B55" s="10" t="n">
        <v>170000</v>
      </c>
      <c r="C55" s="5" t="inlineStr">
        <is>
          <t>$ / yr</t>
        </is>
      </c>
      <c r="G55" s="7" t="inlineStr">
        <is>
          <t>ILLUSTRATIVE — new role, hired in Phase 0</t>
        </is>
      </c>
    </row>
    <row r="56">
      <c r="A56" s="3" t="inlineStr">
        <is>
          <t>Claims assistant — per-query drivers (ADR-006, ADR-008, ADR-024)</t>
        </is>
      </c>
    </row>
    <row r="57">
      <c r="A57" s="4" t="inlineStr">
        <is>
          <t>Input</t>
        </is>
      </c>
      <c r="B57" s="4" t="inlineStr">
        <is>
          <t>Value</t>
        </is>
      </c>
      <c r="C57" s="4" t="inlineStr">
        <is>
          <t>Unit</t>
        </is>
      </c>
      <c r="D57" s="4" t="inlineStr"/>
      <c r="E57" s="4" t="inlineStr"/>
      <c r="F57" s="4" t="inlineStr"/>
      <c r="G57" s="4" t="inlineStr">
        <is>
          <t>Basis / source</t>
        </is>
      </c>
    </row>
    <row r="58">
      <c r="A58" s="5" t="inlineStr">
        <is>
          <t>Assistant population at scale</t>
        </is>
      </c>
      <c r="B58" s="6" t="n">
        <v>4400</v>
      </c>
      <c r="C58" s="5" t="inlineStr">
        <is>
          <t>users</t>
        </is>
      </c>
      <c r="G58" s="7" t="inlineStr">
        <is>
          <t>NFR-10: ~3,800 claims + ~600 underwriting</t>
        </is>
      </c>
    </row>
    <row r="59">
      <c r="A59" s="5" t="inlineStr">
        <is>
          <t>of which claims staff</t>
        </is>
      </c>
      <c r="B59" s="6" t="n">
        <v>3800</v>
      </c>
      <c r="C59" s="5" t="inlineStr">
        <is>
          <t>users</t>
        </is>
      </c>
      <c r="G59" s="7" t="inlineStr">
        <is>
          <t>ADR-029</t>
        </is>
      </c>
    </row>
    <row r="60">
      <c r="A60" s="5" t="inlineStr">
        <is>
          <t>Queries per user per business day</t>
        </is>
      </c>
      <c r="B60" s="6" t="n">
        <v>25</v>
      </c>
      <c r="C60" s="5" t="inlineStr">
        <is>
          <t>queries</t>
        </is>
      </c>
      <c r="G60" s="7" t="inlineStr">
        <is>
          <t>NFR-10: ~110K/day ÷ 4,400</t>
        </is>
      </c>
    </row>
    <row r="61">
      <c r="A61" s="5" t="inlineStr">
        <is>
          <t>Business days per year</t>
        </is>
      </c>
      <c r="B61" s="6" t="n">
        <v>250</v>
      </c>
      <c r="C61" s="5" t="inlineStr">
        <is>
          <t>days</t>
        </is>
      </c>
      <c r="G61" s="7" t="inlineStr">
        <is>
          <t>Assumption</t>
        </is>
      </c>
    </row>
    <row r="62">
      <c r="A62" s="5" t="inlineStr">
        <is>
          <t>Input tokens per query (retrieved context + claim + system)</t>
        </is>
      </c>
      <c r="B62" s="6" t="n">
        <v>6000</v>
      </c>
      <c r="C62" s="5" t="inlineStr">
        <is>
          <t>tokens</t>
        </is>
      </c>
      <c r="G62" s="7" t="inlineStr">
        <is>
          <t>ADR-008 decomposition</t>
        </is>
      </c>
    </row>
    <row r="63">
      <c r="A63" s="5" t="inlineStr">
        <is>
          <t>Output tokens per query</t>
        </is>
      </c>
      <c r="B63" s="6" t="n">
        <v>500</v>
      </c>
      <c r="C63" s="5" t="inlineStr">
        <is>
          <t>tokens</t>
        </is>
      </c>
      <c r="G63" s="7" t="inlineStr">
        <is>
          <t>ADR-008 decomposition</t>
        </is>
      </c>
    </row>
    <row r="64">
      <c r="A64" s="5" t="inlineStr">
        <is>
          <t>Share routed to the fast model</t>
        </is>
      </c>
      <c r="B64" s="9" t="n">
        <v>0.7</v>
      </c>
      <c r="C64" s="5" t="inlineStr">
        <is>
          <t>%</t>
        </is>
      </c>
      <c r="G64" s="7" t="inlineStr">
        <is>
          <t>ADR-008 lever: small model for lookups, frontier for summaries</t>
        </is>
      </c>
    </row>
    <row r="65">
      <c r="A65" s="5" t="inlineStr">
        <is>
          <t>Fast model input price</t>
        </is>
      </c>
      <c r="B65" s="16" t="n">
        <v>0.3</v>
      </c>
      <c r="C65" s="5" t="inlineStr">
        <is>
          <t>$ / M tokens</t>
        </is>
      </c>
      <c r="G65" s="7" t="inlineStr">
        <is>
          <t>ILLUSTRATIVE Flash-class price; confirm on Vertex AI</t>
        </is>
      </c>
    </row>
    <row r="66">
      <c r="A66" s="5" t="inlineStr">
        <is>
          <t>Fast model output price</t>
        </is>
      </c>
      <c r="B66" s="16" t="n">
        <v>2.5</v>
      </c>
      <c r="C66" s="5" t="inlineStr">
        <is>
          <t>$ / M tokens</t>
        </is>
      </c>
      <c r="G66" s="7" t="inlineStr">
        <is>
          <t>ILLUSTRATIVE Flash-class price</t>
        </is>
      </c>
    </row>
    <row r="67">
      <c r="A67" s="5" t="inlineStr">
        <is>
          <t>Frontier model input price</t>
        </is>
      </c>
      <c r="B67" s="16" t="n">
        <v>3</v>
      </c>
      <c r="C67" s="5" t="inlineStr">
        <is>
          <t>$ / M tokens</t>
        </is>
      </c>
      <c r="G67" s="7" t="inlineStr">
        <is>
          <t>ILLUSTRATIVE Sonnet-class price; confirm US multi-region pricing</t>
        </is>
      </c>
    </row>
    <row r="68">
      <c r="A68" s="5" t="inlineStr">
        <is>
          <t>Frontier model output price</t>
        </is>
      </c>
      <c r="B68" s="16" t="n">
        <v>15</v>
      </c>
      <c r="C68" s="5" t="inlineStr">
        <is>
          <t>$ / M tokens</t>
        </is>
      </c>
      <c r="G68" s="7" t="inlineStr">
        <is>
          <t>ILLUSTRATIVE Sonnet-class price</t>
        </is>
      </c>
    </row>
    <row r="69">
      <c r="A69" s="5" t="inlineStr">
        <is>
          <t>Reranking (Vertex ranking)</t>
        </is>
      </c>
      <c r="B69" s="15" t="n">
        <v>1</v>
      </c>
      <c r="C69" s="5" t="inlineStr">
        <is>
          <t>$ / 1,000 queries</t>
        </is>
      </c>
      <c r="G69" s="7" t="inlineStr">
        <is>
          <t>ILLUSTRATIVE</t>
        </is>
      </c>
    </row>
    <row r="70">
      <c r="A70" s="5" t="inlineStr">
        <is>
          <t>Model Armor screening</t>
        </is>
      </c>
      <c r="B70" s="16" t="n">
        <v>0.1</v>
      </c>
      <c r="C70" s="5" t="inlineStr">
        <is>
          <t>$ / M tokens</t>
        </is>
      </c>
      <c r="G70" s="7" t="inlineStr">
        <is>
          <t>ILLUSTRATIVE</t>
        </is>
      </c>
    </row>
    <row r="71">
      <c r="A71" s="5" t="inlineStr">
        <is>
          <t>Online evaluation sample scored by a second model</t>
        </is>
      </c>
      <c r="B71" s="8" t="n">
        <v>0.05</v>
      </c>
      <c r="C71" s="5" t="inlineStr">
        <is>
          <t>% of queries</t>
        </is>
      </c>
      <c r="G71" s="7" t="inlineStr">
        <is>
          <t>ADR-007: different scorer model</t>
        </is>
      </c>
    </row>
    <row r="72">
      <c r="A72" s="5" t="inlineStr">
        <is>
          <t>Audit + logging per query</t>
        </is>
      </c>
      <c r="B72" s="14" t="n">
        <v>0.0002</v>
      </c>
      <c r="C72" s="5" t="inlineStr">
        <is>
          <t>$ / query</t>
        </is>
      </c>
      <c r="G72" s="7" t="inlineStr">
        <is>
          <t>ILLUSTRATIVE — ~30 KB per interaction</t>
        </is>
      </c>
    </row>
    <row r="73">
      <c r="A73" s="5" t="inlineStr">
        <is>
          <t>Vertex AI Vector Search serving (hot + reference, 2 regions)</t>
        </is>
      </c>
      <c r="B73" s="11" t="n">
        <v>150000</v>
      </c>
      <c r="C73" s="5" t="inlineStr">
        <is>
          <t>$ / yr</t>
        </is>
      </c>
      <c r="G73" s="7" t="inlineStr">
        <is>
          <t>ILLUSTRATIVE sizing (ADR-023)</t>
        </is>
      </c>
    </row>
    <row r="74">
      <c r="A74" s="5" t="inlineStr">
        <is>
          <t>New claim documents per day</t>
        </is>
      </c>
      <c r="B74" s="6" t="n">
        <v>25000</v>
      </c>
      <c r="C74" s="5" t="inlineStr">
        <is>
          <t>docs</t>
        </is>
      </c>
      <c r="G74" s="7" t="inlineStr">
        <is>
          <t>NFR-10</t>
        </is>
      </c>
    </row>
    <row r="75">
      <c r="A75" s="5" t="inlineStr">
        <is>
          <t>Pages per document</t>
        </is>
      </c>
      <c r="B75" s="6" t="n">
        <v>4</v>
      </c>
      <c r="C75" s="5" t="inlineStr">
        <is>
          <t>pages</t>
        </is>
      </c>
      <c r="G75" s="7" t="inlineStr">
        <is>
          <t>Assumption</t>
        </is>
      </c>
    </row>
    <row r="76">
      <c r="A76" s="5" t="inlineStr">
        <is>
          <t>Document AI OCR price</t>
        </is>
      </c>
      <c r="B76" s="15" t="n">
        <v>1.5</v>
      </c>
      <c r="C76" s="5" t="inlineStr">
        <is>
          <t>$ / 1,000 pages</t>
        </is>
      </c>
      <c r="G76" s="7" t="inlineStr">
        <is>
          <t>ILLUSTRATIVE list-price basis</t>
        </is>
      </c>
    </row>
    <row r="77">
      <c r="A77" s="5" t="inlineStr">
        <is>
          <t>Embeddings (new documents + re-embeds)</t>
        </is>
      </c>
      <c r="B77" s="10" t="n">
        <v>10000</v>
      </c>
      <c r="C77" s="5" t="inlineStr">
        <is>
          <t>$ / yr</t>
        </is>
      </c>
      <c r="G77" s="7" t="inlineStr">
        <is>
          <t>ILLUSTRATIVE</t>
        </is>
      </c>
    </row>
    <row r="78">
      <c r="A78" s="5" t="inlineStr">
        <is>
          <t>Warm tier: BigQuery search index + queries</t>
        </is>
      </c>
      <c r="B78" s="10" t="n">
        <v>40000</v>
      </c>
      <c r="C78" s="5" t="inlineStr">
        <is>
          <t>$ / yr</t>
        </is>
      </c>
      <c r="G78" s="7" t="inlineStr">
        <is>
          <t>ILLUSTRATIVE (ADR-023)</t>
        </is>
      </c>
    </row>
    <row r="79">
      <c r="A79" s="5" t="inlineStr">
        <is>
          <t>Apigee subscription (AI gateway)</t>
        </is>
      </c>
      <c r="B79" s="11" t="n">
        <v>180000</v>
      </c>
      <c r="C79" s="5" t="inlineStr">
        <is>
          <t>$ / yr</t>
        </is>
      </c>
      <c r="G79" s="7" t="inlineStr">
        <is>
          <t>ILLUSTRATIVE — quote-based (ADR-024)</t>
        </is>
      </c>
    </row>
    <row r="80">
      <c r="A80" s="5" t="inlineStr">
        <is>
          <t>Cloud Run (assistant + retrieval service)</t>
        </is>
      </c>
      <c r="B80" s="10" t="n">
        <v>50000</v>
      </c>
      <c r="C80" s="5" t="inlineStr">
        <is>
          <t>$ / yr</t>
        </is>
      </c>
      <c r="G80" s="7" t="inlineStr">
        <is>
          <t>ILLUSTRATIVE</t>
        </is>
      </c>
    </row>
    <row r="81">
      <c r="A81" s="5" t="inlineStr">
        <is>
          <t>Evaluation harness runs + red-team suite</t>
        </is>
      </c>
      <c r="B81" s="10" t="n">
        <v>40000</v>
      </c>
      <c r="C81" s="5" t="inlineStr">
        <is>
          <t>$ / yr</t>
        </is>
      </c>
      <c r="G81" s="7" t="inlineStr">
        <is>
          <t>ILLUSTRATIVE (ADR-007)</t>
        </is>
      </c>
    </row>
    <row r="82">
      <c r="A82" s="5" t="inlineStr">
        <is>
          <t>Audit store (Bucket Lock + BigQuery copy)</t>
        </is>
      </c>
      <c r="B82" s="10" t="n">
        <v>15000</v>
      </c>
      <c r="C82" s="5" t="inlineStr">
        <is>
          <t>$ / yr</t>
        </is>
      </c>
      <c r="G82" s="7" t="inlineStr">
        <is>
          <t>ILLUSTRATIVE — 7-year retention (NFR-6)</t>
        </is>
      </c>
    </row>
    <row r="83">
      <c r="A83" s="5" t="inlineStr">
        <is>
          <t>Assistant run team (product owner, 2 engineers, golden-set SME share)</t>
        </is>
      </c>
      <c r="B83" s="11" t="n">
        <v>600000</v>
      </c>
      <c r="C83" s="5" t="inlineStr">
        <is>
          <t>$ / yr</t>
        </is>
      </c>
      <c r="G83" s="7" t="inlineStr">
        <is>
          <t>ILLUSTRATIVE loaded cost; outside NFR-11's unit-cost definition</t>
        </is>
      </c>
    </row>
    <row r="84">
      <c r="A84" s="5" t="inlineStr">
        <is>
          <t>Pilot users (A2 is measured here)</t>
        </is>
      </c>
      <c r="B84" s="6" t="n">
        <v>300</v>
      </c>
      <c r="C84" s="5" t="inlineStr">
        <is>
          <t>users</t>
        </is>
      </c>
      <c r="G84" s="7" t="inlineStr">
        <is>
          <t>ADR-029</t>
        </is>
      </c>
    </row>
    <row r="85">
      <c r="A85" s="3" t="inlineStr">
        <is>
          <t>Assistant value (capacity released)</t>
        </is>
      </c>
    </row>
    <row r="86">
      <c r="A86" s="4" t="inlineStr">
        <is>
          <t>Input</t>
        </is>
      </c>
      <c r="B86" s="4" t="inlineStr">
        <is>
          <t>Value</t>
        </is>
      </c>
      <c r="C86" s="4" t="inlineStr">
        <is>
          <t>Unit</t>
        </is>
      </c>
      <c r="D86" s="4" t="inlineStr"/>
      <c r="E86" s="4" t="inlineStr"/>
      <c r="F86" s="4" t="inlineStr"/>
      <c r="G86" s="4" t="inlineStr">
        <is>
          <t>Basis / source</t>
        </is>
      </c>
    </row>
    <row r="87">
      <c r="A87" s="5" t="inlineStr">
        <is>
          <t>Loaded cost per claims FTE</t>
        </is>
      </c>
      <c r="B87" s="11" t="n">
        <v>95000</v>
      </c>
      <c r="C87" s="5" t="inlineStr">
        <is>
          <t>$ / yr</t>
        </is>
      </c>
      <c r="G87" s="7" t="inlineStr">
        <is>
          <t>ILLUSTRATIVE — quote from HR/Finance</t>
        </is>
      </c>
    </row>
    <row r="88">
      <c r="A88" s="5" t="inlineStr">
        <is>
          <t>Share of adjuster time spent searching</t>
        </is>
      </c>
      <c r="B88" s="8" t="n">
        <v>0.3</v>
      </c>
      <c r="C88" s="5" t="inlineStr">
        <is>
          <t>%</t>
        </is>
      </c>
      <c r="G88" s="7" t="inlineStr">
        <is>
          <t>problem-statement.md (adjusters report ~30%)</t>
        </is>
      </c>
    </row>
    <row r="89">
      <c r="A89" s="5" t="inlineStr">
        <is>
          <t>Share of released capacity that becomes financial value</t>
        </is>
      </c>
      <c r="B89" s="9" t="n">
        <v>0.5</v>
      </c>
      <c r="C89" s="5" t="inlineStr">
        <is>
          <t>%</t>
        </is>
      </c>
      <c r="G89" s="7" t="inlineStr">
        <is>
          <t>ASSUMPTION: avoided hiring, overtime and independent-adjuster spend; the rest is quality</t>
        </is>
      </c>
    </row>
    <row r="90">
      <c r="A90" s="3" t="inlineStr">
        <is>
          <t>NFR-11 ceilings and decision robustness</t>
        </is>
      </c>
    </row>
    <row r="91">
      <c r="A91" s="4" t="inlineStr">
        <is>
          <t>Input</t>
        </is>
      </c>
      <c r="B91" s="4" t="inlineStr">
        <is>
          <t>Value</t>
        </is>
      </c>
      <c r="C91" s="4" t="inlineStr">
        <is>
          <t>Unit</t>
        </is>
      </c>
      <c r="D91" s="4" t="inlineStr"/>
      <c r="E91" s="4" t="inlineStr"/>
      <c r="F91" s="4" t="inlineStr"/>
      <c r="G91" s="4" t="inlineStr">
        <is>
          <t>Basis / source</t>
        </is>
      </c>
    </row>
    <row r="92">
      <c r="A92" s="5" t="inlineStr">
        <is>
          <t>Assistant unit-cost ceiling (all-in)</t>
        </is>
      </c>
      <c r="B92" s="14" t="n">
        <v>0.05</v>
      </c>
      <c r="C92" s="5" t="inlineStr">
        <is>
          <t>$ / query</t>
        </is>
      </c>
      <c r="G92" s="7" t="inlineStr">
        <is>
          <t>NFR-11</t>
        </is>
      </c>
    </row>
    <row r="93">
      <c r="A93" s="5" t="inlineStr">
        <is>
          <t>Proposed pilot gate on variable cost per query</t>
        </is>
      </c>
      <c r="B93" s="14" t="n">
        <v>0.02</v>
      </c>
      <c r="C93" s="5" t="inlineStr">
        <is>
          <t>$ / query</t>
        </is>
      </c>
      <c r="G93" s="7" t="inlineStr">
        <is>
          <t>Step 12 amendment to gate A2 (ADR-029)</t>
        </is>
      </c>
    </row>
    <row r="94">
      <c r="A94" s="5" t="inlineStr">
        <is>
          <t>GCP weighted score (Step 9)</t>
        </is>
      </c>
      <c r="B94" s="15" t="n">
        <v>3.9</v>
      </c>
      <c r="C94" s="5" t="inlineStr">
        <is>
          <t>/ 5</t>
        </is>
      </c>
      <c r="G94" s="7" t="inlineStr">
        <is>
          <t>decision-matrix.md</t>
        </is>
      </c>
    </row>
    <row r="95">
      <c r="A95" s="5" t="inlineStr">
        <is>
          <t>Azure weighted score (Step 9)</t>
        </is>
      </c>
      <c r="B95" s="15" t="n">
        <v>3.675</v>
      </c>
      <c r="C95" s="5" t="inlineStr">
        <is>
          <t>/ 5</t>
        </is>
      </c>
      <c r="G95" s="7" t="inlineStr">
        <is>
          <t>decision-matrix.md (runner-up)</t>
        </is>
      </c>
    </row>
    <row r="96">
      <c r="A96" s="5" t="inlineStr">
        <is>
          <t>Cost criterion weight</t>
        </is>
      </c>
      <c r="B96" s="8" t="n">
        <v>0.15</v>
      </c>
      <c r="C96" s="5" t="inlineStr">
        <is>
          <t>%</t>
        </is>
      </c>
      <c r="G96" s="7" t="inlineStr">
        <is>
          <t>decision-matrix.md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70" customWidth="1" min="3" max="3"/>
  </cols>
  <sheetData>
    <row r="1">
      <c r="A1" s="1" t="inlineStr">
        <is>
          <t>GCP Data Platform — Steady-State Run-Rate (annual, illustrative)</t>
        </is>
      </c>
    </row>
    <row r="2">
      <c r="A2" s="2" t="inlineStr">
        <is>
          <t>Like-for-like with the $6.8M legacy baseline: licences, infrastructure and support only. People, Tableau and Guidewire are outside both.</t>
        </is>
      </c>
    </row>
    <row r="4">
      <c r="A4" s="4" t="inlineStr">
        <is>
          <t>Line item</t>
        </is>
      </c>
      <c r="B4" s="4" t="inlineStr">
        <is>
          <t>Annual $</t>
        </is>
      </c>
      <c r="C4" s="4" t="inlineStr">
        <is>
          <t>Formula basis</t>
        </is>
      </c>
    </row>
    <row r="5">
      <c r="A5" s="5" t="inlineStr">
        <is>
          <t>BigQuery Enterprise baseline reservation</t>
        </is>
      </c>
      <c r="B5" s="12">
        <f>Assumptions!$B$31*Assumptions!$B$32*8760</f>
        <v/>
      </c>
      <c r="C5" s="7" t="inlineStr">
        <is>
          <t>slots × $/slot-hr × 8,760</t>
        </is>
      </c>
    </row>
    <row r="6">
      <c r="A6" s="5" t="inlineStr">
        <is>
          <t>BigQuery Enterprise Plus reservation</t>
        </is>
      </c>
      <c r="B6" s="12">
        <f>Assumptions!$B$33*Assumptions!$B$34*8760</f>
        <v/>
      </c>
      <c r="C6" s="7" t="inlineStr">
        <is>
          <t>slots × $/slot-hr × 8,760</t>
        </is>
      </c>
    </row>
    <row r="7">
      <c r="A7" s="5" t="inlineStr">
        <is>
          <t>BigQuery autoscale slots</t>
        </is>
      </c>
      <c r="B7" s="12">
        <f>Assumptions!$B$35*Assumptions!$B$36*8760</f>
        <v/>
      </c>
      <c r="C7" s="7" t="inlineStr">
        <is>
          <t>avg slots × $/slot-hr × 8,760</t>
        </is>
      </c>
    </row>
    <row r="8">
      <c r="A8" s="5" t="inlineStr">
        <is>
          <t>BI Engine</t>
        </is>
      </c>
      <c r="B8" s="12">
        <f>Assumptions!$B$37*Assumptions!$B$38*8760</f>
        <v/>
      </c>
      <c r="C8" s="7" t="inlineStr">
        <is>
          <t>GiB × $/GiB-hr × 8,760</t>
        </is>
      </c>
    </row>
    <row r="9">
      <c r="A9" s="5" t="inlineStr">
        <is>
          <t>Datastream CDC</t>
        </is>
      </c>
      <c r="B9" s="12">
        <f>Assumptions!$B$43*Assumptions!$B$44*12</f>
        <v/>
      </c>
      <c r="C9" s="7" t="inlineStr">
        <is>
          <t>GB/month × $/GB × 12</t>
        </is>
      </c>
    </row>
    <row r="10">
      <c r="A10" s="5" t="inlineStr">
        <is>
          <t>Dataflow</t>
        </is>
      </c>
      <c r="B10" s="12">
        <f>Assumptions!$B$45</f>
        <v/>
      </c>
      <c r="C10" s="7" t="inlineStr">
        <is>
          <t>input</t>
        </is>
      </c>
    </row>
    <row r="11">
      <c r="A11" s="5" t="inlineStr">
        <is>
          <t>Colab Enterprise / serverless Spark</t>
        </is>
      </c>
      <c r="B11" s="12">
        <f>Assumptions!$B$46</f>
        <v/>
      </c>
      <c r="C11" s="7" t="inlineStr">
        <is>
          <t>input</t>
        </is>
      </c>
    </row>
    <row r="12">
      <c r="A12" s="5" t="inlineStr">
        <is>
          <t>Dataplex Universal Catalog + lineage</t>
        </is>
      </c>
      <c r="B12" s="12">
        <f>Assumptions!$B$47</f>
        <v/>
      </c>
      <c r="C12" s="7" t="inlineStr">
        <is>
          <t>input</t>
        </is>
      </c>
    </row>
    <row r="13">
      <c r="A13" s="5" t="inlineStr">
        <is>
          <t>Sensitive Data Protection</t>
        </is>
      </c>
      <c r="B13" s="12">
        <f>Assumptions!$B$48</f>
        <v/>
      </c>
      <c r="C13" s="7" t="inlineStr">
        <is>
          <t>input</t>
        </is>
      </c>
    </row>
    <row r="14">
      <c r="A14" s="5" t="inlineStr">
        <is>
          <t>Dedicated Interconnect</t>
        </is>
      </c>
      <c r="B14" s="12">
        <f>Assumptions!$B$49</f>
        <v/>
      </c>
      <c r="C14" s="7" t="inlineStr">
        <is>
          <t>input</t>
        </is>
      </c>
    </row>
    <row r="15">
      <c r="A15" s="5" t="inlineStr">
        <is>
          <t>Logging / Monitoring</t>
        </is>
      </c>
      <c r="B15" s="12">
        <f>Assumptions!$B$50</f>
        <v/>
      </c>
      <c r="C15" s="7" t="inlineStr">
        <is>
          <t>input</t>
        </is>
      </c>
    </row>
    <row r="16">
      <c r="A16" s="5" t="inlineStr">
        <is>
          <t>Security services</t>
        </is>
      </c>
      <c r="B16" s="12">
        <f>Assumptions!$B$51</f>
        <v/>
      </c>
      <c r="C16" s="7" t="inlineStr">
        <is>
          <t>input</t>
        </is>
      </c>
    </row>
    <row r="17">
      <c r="A17" s="5" t="inlineStr">
        <is>
          <t>Archive + export buckets</t>
        </is>
      </c>
      <c r="B17" s="12">
        <f>Assumptions!$B$52</f>
        <v/>
      </c>
      <c r="C17" s="7" t="inlineStr">
        <is>
          <t>input</t>
        </is>
      </c>
    </row>
    <row r="18">
      <c r="A18" s="17" t="inlineStr">
        <is>
          <t>Subtotal — services (before support)</t>
        </is>
      </c>
      <c r="B18" s="18">
        <f>SUM(B5:B17)</f>
        <v/>
      </c>
    </row>
    <row r="19">
      <c r="A19" s="5" t="inlineStr">
        <is>
          <t>Google Cloud support on services</t>
        </is>
      </c>
      <c r="B19" s="12">
        <f>B18*Assumptions!$B$53</f>
        <v/>
      </c>
      <c r="C19" s="7" t="inlineStr">
        <is>
          <t>subtotal × support %</t>
        </is>
      </c>
    </row>
    <row r="20">
      <c r="A20" s="17" t="inlineStr">
        <is>
          <t>Services incl. support (does not grow with data)</t>
        </is>
      </c>
      <c r="B20" s="18">
        <f>B18+B19</f>
        <v/>
      </c>
    </row>
    <row r="22">
      <c r="A22" s="5" t="inlineStr">
        <is>
          <t>Storage at today's volume, incl. support</t>
        </is>
      </c>
      <c r="B22" s="12">
        <f>Assumptions!$B$39*Assumptions!$B$41*1000*Assumptions!$B$42*12*(1+Assumptions!$B$53)</f>
        <v/>
      </c>
      <c r="C22" s="7" t="inlineStr">
        <is>
          <t>raw TB × billable factor × 1,000 × $/GB-mo × 12 × (1 + support); grows with data in FiveYearTCO</t>
        </is>
      </c>
    </row>
    <row r="24">
      <c r="A24" s="17" t="inlineStr">
        <is>
          <t>Steady-state platform run-rate at today's volume</t>
        </is>
      </c>
      <c r="B24" s="18">
        <f>PlatformRunRate!$B$20+PlatformRunRate!$B$22</f>
        <v/>
      </c>
    </row>
    <row r="25">
      <c r="A25" s="5" t="inlineStr">
        <is>
          <t>Share of the $6.8M legacy baseline</t>
        </is>
      </c>
      <c r="B25" s="19">
        <f>IFERROR(PlatformRunRate!$B$24/Assumptions!$B$28,0)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70" customWidth="1" min="3" max="3"/>
  </cols>
  <sheetData>
    <row r="1">
      <c r="A1" s="1" t="inlineStr">
        <is>
          <t>Claims Assistant — Unit Cost per Query (illustrative)</t>
        </is>
      </c>
    </row>
    <row r="2">
      <c r="A2" s="2" t="inlineStr">
        <is>
          <t>NFR-11 defines 'all-in' as retrieval + inference + logging. The run team is shown separately as 'fully loaded'.</t>
        </is>
      </c>
    </row>
    <row r="4">
      <c r="A4" s="4" t="inlineStr">
        <is>
          <t>Line item</t>
        </is>
      </c>
      <c r="B4" s="4" t="inlineStr">
        <is>
          <t>Value</t>
        </is>
      </c>
      <c r="C4" s="4" t="inlineStr">
        <is>
          <t>Formula basis</t>
        </is>
      </c>
    </row>
    <row r="5">
      <c r="A5" s="20" t="inlineStr">
        <is>
          <t>Variable cost per query</t>
        </is>
      </c>
      <c r="B5" s="20" t="n"/>
      <c r="C5" s="20" t="n"/>
    </row>
    <row r="6">
      <c r="A6" s="5" t="inlineStr">
        <is>
          <t>Fast-model generation</t>
        </is>
      </c>
      <c r="B6" s="21">
        <f>(Assumptions!$B$62*Assumptions!$B$65+Assumptions!$B$63*Assumptions!$B$66)/1000000</f>
        <v/>
      </c>
      <c r="C6" s="7" t="inlineStr">
        <is>
          <t>(in × $in + out × $out) ÷ 1M</t>
        </is>
      </c>
    </row>
    <row r="7">
      <c r="A7" s="5" t="inlineStr">
        <is>
          <t>Frontier-model generation</t>
        </is>
      </c>
      <c r="B7" s="21">
        <f>(Assumptions!$B$62*Assumptions!$B$67+Assumptions!$B$63*Assumptions!$B$68)/1000000</f>
        <v/>
      </c>
      <c r="C7" s="7" t="inlineStr">
        <is>
          <t>(in × $in + out × $out) ÷ 1M</t>
        </is>
      </c>
    </row>
    <row r="8">
      <c r="A8" s="5" t="inlineStr">
        <is>
          <t>Routed generation</t>
        </is>
      </c>
      <c r="B8" s="21">
        <f>Assumptions!$B$64*AssistantUnitCost!$B$6+(1-Assumptions!$B$64)*AssistantUnitCost!$B$7</f>
        <v/>
      </c>
      <c r="C8" s="7" t="inlineStr">
        <is>
          <t>fast share × fast + rest × frontier</t>
        </is>
      </c>
    </row>
    <row r="9">
      <c r="A9" s="5" t="inlineStr">
        <is>
          <t>Reranking</t>
        </is>
      </c>
      <c r="B9" s="21">
        <f>Assumptions!$B$69/1000</f>
        <v/>
      </c>
      <c r="C9" s="7" t="inlineStr">
        <is>
          <t>$/1,000 ÷ 1,000</t>
        </is>
      </c>
    </row>
    <row r="10">
      <c r="A10" s="5" t="inlineStr">
        <is>
          <t>Model Armor screening</t>
        </is>
      </c>
      <c r="B10" s="21">
        <f>(Assumptions!$B$62+Assumptions!$B$63)*Assumptions!$B$70/1000000</f>
        <v/>
      </c>
      <c r="C10" s="7" t="inlineStr">
        <is>
          <t>tokens × $/M ÷ 1M</t>
        </is>
      </c>
    </row>
    <row r="11">
      <c r="A11" s="5" t="inlineStr">
        <is>
          <t>Online evaluation sampling</t>
        </is>
      </c>
      <c r="B11" s="21">
        <f>Assumptions!$B$71*AssistantUnitCost!$B$7</f>
        <v/>
      </c>
      <c r="C11" s="7" t="inlineStr">
        <is>
          <t>sample % × frontier cost</t>
        </is>
      </c>
    </row>
    <row r="12">
      <c r="A12" s="5" t="inlineStr">
        <is>
          <t>Audit + logging</t>
        </is>
      </c>
      <c r="B12" s="21">
        <f>Assumptions!$B$72</f>
        <v/>
      </c>
      <c r="C12" s="7" t="inlineStr">
        <is>
          <t>input</t>
        </is>
      </c>
    </row>
    <row r="13">
      <c r="A13" s="17" t="inlineStr">
        <is>
          <t>Variable cost per query</t>
        </is>
      </c>
      <c r="B13" s="22">
        <f>AssistantUnitCost!$B$8+AssistantUnitCost!$B$9+AssistantUnitCost!$B$10+AssistantUnitCost!$B$11+AssistantUnitCost!$B$12</f>
        <v/>
      </c>
      <c r="C13" s="7" t="inlineStr">
        <is>
          <t>sum</t>
        </is>
      </c>
    </row>
    <row r="14">
      <c r="A14" s="20" t="inlineStr">
        <is>
          <t>Fixed AI infrastructure (annual, at scale)</t>
        </is>
      </c>
      <c r="B14" s="20" t="n"/>
      <c r="C14" s="20" t="n"/>
    </row>
    <row r="15">
      <c r="A15" s="5" t="inlineStr">
        <is>
          <t>Vector Search serving</t>
        </is>
      </c>
      <c r="B15" s="12">
        <f>Assumptions!$B$73</f>
        <v/>
      </c>
      <c r="C15" s="7" t="inlineStr">
        <is>
          <t>input</t>
        </is>
      </c>
    </row>
    <row r="16">
      <c r="A16" s="5" t="inlineStr">
        <is>
          <t>Document AI OCR (new documents)</t>
        </is>
      </c>
      <c r="B16" s="12">
        <f>Assumptions!$B$74*Assumptions!$B$75*365*Assumptions!$B$76/1000</f>
        <v/>
      </c>
      <c r="C16" s="7" t="inlineStr">
        <is>
          <t>docs/day × pages × 365 × $/1,000 pages</t>
        </is>
      </c>
    </row>
    <row r="17">
      <c r="A17" s="5" t="inlineStr">
        <is>
          <t>Embeddings</t>
        </is>
      </c>
      <c r="B17" s="12">
        <f>Assumptions!$B$77</f>
        <v/>
      </c>
      <c r="C17" s="7" t="inlineStr">
        <is>
          <t>input</t>
        </is>
      </c>
    </row>
    <row r="18">
      <c r="A18" s="5" t="inlineStr">
        <is>
          <t>Warm tier (BigQuery search)</t>
        </is>
      </c>
      <c r="B18" s="12">
        <f>Assumptions!$B$78</f>
        <v/>
      </c>
      <c r="C18" s="7" t="inlineStr">
        <is>
          <t>input</t>
        </is>
      </c>
    </row>
    <row r="19">
      <c r="A19" s="5" t="inlineStr">
        <is>
          <t>Apigee</t>
        </is>
      </c>
      <c r="B19" s="12">
        <f>Assumptions!$B$79</f>
        <v/>
      </c>
      <c r="C19" s="7" t="inlineStr">
        <is>
          <t>input</t>
        </is>
      </c>
    </row>
    <row r="20">
      <c r="A20" s="5" t="inlineStr">
        <is>
          <t>Cloud Run</t>
        </is>
      </c>
      <c r="B20" s="12">
        <f>Assumptions!$B$80</f>
        <v/>
      </c>
      <c r="C20" s="7" t="inlineStr">
        <is>
          <t>input</t>
        </is>
      </c>
    </row>
    <row r="21">
      <c r="A21" s="5" t="inlineStr">
        <is>
          <t>Evaluation harness + red team</t>
        </is>
      </c>
      <c r="B21" s="12">
        <f>Assumptions!$B$81</f>
        <v/>
      </c>
      <c r="C21" s="7" t="inlineStr">
        <is>
          <t>input</t>
        </is>
      </c>
    </row>
    <row r="22">
      <c r="A22" s="5" t="inlineStr">
        <is>
          <t>Audit store</t>
        </is>
      </c>
      <c r="B22" s="12">
        <f>Assumptions!$B$82</f>
        <v/>
      </c>
      <c r="C22" s="7" t="inlineStr">
        <is>
          <t>input</t>
        </is>
      </c>
    </row>
    <row r="23">
      <c r="A23" s="17" t="inlineStr">
        <is>
          <t>Fixed AI infrastructure</t>
        </is>
      </c>
      <c r="B23" s="18">
        <f>SUM($B$15:$B$22)</f>
        <v/>
      </c>
      <c r="C23" s="7" t="inlineStr">
        <is>
          <t>sum</t>
        </is>
      </c>
    </row>
    <row r="24">
      <c r="A24" s="20" t="inlineStr">
        <is>
          <t>Unit cost at full scale</t>
        </is>
      </c>
      <c r="B24" s="20" t="n"/>
      <c r="C24" s="20" t="n"/>
    </row>
    <row r="25">
      <c r="A25" s="5" t="inlineStr">
        <is>
          <t>Queries per year at full scale</t>
        </is>
      </c>
      <c r="B25" s="23">
        <f>Assumptions!$B$58*Assumptions!$B$60*Assumptions!$B$61</f>
        <v/>
      </c>
      <c r="C25" s="7" t="inlineStr">
        <is>
          <t>users × queries/day × days</t>
        </is>
      </c>
    </row>
    <row r="26">
      <c r="A26" s="5" t="inlineStr">
        <is>
          <t>Fixed infrastructure per query</t>
        </is>
      </c>
      <c r="B26" s="21">
        <f>IFERROR(AssistantUnitCost!$B$23/AssistantUnitCost!$B$25,0)</f>
        <v/>
      </c>
      <c r="C26" s="7" t="inlineStr">
        <is>
          <t>fixed ÷ queries</t>
        </is>
      </c>
    </row>
    <row r="27">
      <c r="A27" s="17" t="inlineStr">
        <is>
          <t>All-in unit cost per query (NFR-11 definition)</t>
        </is>
      </c>
      <c r="B27" s="22">
        <f>AssistantUnitCost!$B$13+AssistantUnitCost!$B$26</f>
        <v/>
      </c>
      <c r="C27" s="7" t="inlineStr">
        <is>
          <t>variable + fixed share</t>
        </is>
      </c>
    </row>
    <row r="28">
      <c r="A28" s="5" t="inlineStr">
        <is>
          <t>Run team per query</t>
        </is>
      </c>
      <c r="B28" s="21">
        <f>IFERROR(Assumptions!$B$83/AssistantUnitCost!$B$25,0)</f>
        <v/>
      </c>
      <c r="C28" s="7" t="inlineStr">
        <is>
          <t>team ÷ queries</t>
        </is>
      </c>
    </row>
    <row r="29">
      <c r="A29" s="24" t="inlineStr">
        <is>
          <t>Fully loaded cost per query (incl. run team)</t>
        </is>
      </c>
      <c r="B29" s="25">
        <f>AssistantUnitCost!$B$27+AssistantUnitCost!$B$28</f>
        <v/>
      </c>
      <c r="C29" s="7" t="inlineStr">
        <is>
          <t>all-in +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8" customWidth="1" min="2" max="2"/>
    <col width="11" customWidth="1" min="3" max="3"/>
    <col width="12" customWidth="1" min="4" max="4"/>
    <col width="14" customWidth="1" min="5" max="5"/>
    <col width="1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58" customWidth="1" min="17" max="17"/>
    <col width="11" customWidth="1" min="18" max="18"/>
  </cols>
  <sheetData>
    <row r="1">
      <c r="A1" s="1" t="inlineStr">
        <is>
          <t>One-Time Program Costs and Phasing (illustrative)</t>
        </is>
      </c>
    </row>
    <row r="2">
      <c r="A2" s="2" t="inlineStr">
        <is>
          <t>Blue = inputs. Track: Data = Teradata/SAS exit and platform; AI = claims assistant. Phasing % must sum to 100% (column R).</t>
        </is>
      </c>
    </row>
    <row r="4">
      <c r="A4" s="4" t="inlineStr">
        <is>
          <t>Item</t>
        </is>
      </c>
      <c r="B4" s="4" t="inlineStr">
        <is>
          <t>Track</t>
        </is>
      </c>
      <c r="C4" s="4" t="inlineStr">
        <is>
          <t>Quantity</t>
        </is>
      </c>
      <c r="D4" s="4" t="inlineStr">
        <is>
          <t>Unit cost ($)</t>
        </is>
      </c>
      <c r="E4" s="4" t="inlineStr">
        <is>
          <t>Unit</t>
        </is>
      </c>
      <c r="F4" s="4" t="inlineStr">
        <is>
          <t>Total ($)</t>
        </is>
      </c>
      <c r="G4" s="4" t="inlineStr">
        <is>
          <t>Y1 %</t>
        </is>
      </c>
      <c r="H4" s="4" t="inlineStr">
        <is>
          <t>Y2 %</t>
        </is>
      </c>
      <c r="I4" s="4" t="inlineStr">
        <is>
          <t>Y3 %</t>
        </is>
      </c>
      <c r="J4" s="4" t="inlineStr">
        <is>
          <t>Y4 %</t>
        </is>
      </c>
      <c r="K4" s="4" t="inlineStr">
        <is>
          <t>Y5 %</t>
        </is>
      </c>
      <c r="L4" s="4" t="inlineStr">
        <is>
          <t>Y1 $</t>
        </is>
      </c>
      <c r="M4" s="4" t="inlineStr">
        <is>
          <t>Y2 $</t>
        </is>
      </c>
      <c r="N4" s="4" t="inlineStr">
        <is>
          <t>Y3 $</t>
        </is>
      </c>
      <c r="O4" s="4" t="inlineStr">
        <is>
          <t>Y4 $</t>
        </is>
      </c>
      <c r="P4" s="4" t="inlineStr">
        <is>
          <t>Y5 $</t>
        </is>
      </c>
      <c r="Q4" s="4" t="inlineStr">
        <is>
          <t>Basis</t>
        </is>
      </c>
      <c r="R4" s="4" t="inlineStr">
        <is>
          <t>Phasing check</t>
        </is>
      </c>
    </row>
    <row r="5">
      <c r="A5" s="5" t="inlineStr">
        <is>
          <t>Gate G0 proofs of concept (Iceberg parity, translation, model terms)</t>
        </is>
      </c>
      <c r="B5" s="26" t="inlineStr">
        <is>
          <t>Data</t>
        </is>
      </c>
      <c r="C5" s="6" t="n">
        <v>1</v>
      </c>
      <c r="D5" s="10" t="n">
        <v>300000</v>
      </c>
      <c r="E5" s="5" t="inlineStr">
        <is>
          <t>lump sum</t>
        </is>
      </c>
      <c r="F5" s="12">
        <f>C5*D5</f>
        <v/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12">
        <f>$F5*G5</f>
        <v/>
      </c>
      <c r="M5" s="12">
        <f>$F5*H5</f>
        <v/>
      </c>
      <c r="N5" s="12">
        <f>$F5*I5</f>
        <v/>
      </c>
      <c r="O5" s="12">
        <f>$F5*J5</f>
        <v/>
      </c>
      <c r="P5" s="12">
        <f>$F5*K5</f>
        <v/>
      </c>
      <c r="Q5" s="7" t="inlineStr">
        <is>
          <t>ADR-027 gate G0, M1–M3</t>
        </is>
      </c>
      <c r="R5" s="19">
        <f>SUM(G5:K5)</f>
        <v/>
      </c>
    </row>
    <row r="6">
      <c r="A6" s="5" t="inlineStr">
        <is>
          <t>Landing zone, VPC-SC, WIF⇄Entra, Dataplex, Apigee setup (partner)</t>
        </is>
      </c>
      <c r="B6" s="26" t="inlineStr">
        <is>
          <t>Data</t>
        </is>
      </c>
      <c r="C6" s="6" t="n">
        <v>1</v>
      </c>
      <c r="D6" s="10" t="n">
        <v>450000</v>
      </c>
      <c r="E6" s="5" t="inlineStr">
        <is>
          <t>lump sum</t>
        </is>
      </c>
      <c r="F6" s="12">
        <f>C6*D6</f>
        <v/>
      </c>
      <c r="G6" s="8" t="n">
        <v>1</v>
      </c>
      <c r="H6" s="8" t="n">
        <v>0</v>
      </c>
      <c r="I6" s="8" t="n">
        <v>0</v>
      </c>
      <c r="J6" s="8" t="n">
        <v>0</v>
      </c>
      <c r="K6" s="8" t="n">
        <v>0</v>
      </c>
      <c r="L6" s="12">
        <f>$F6*G6</f>
        <v/>
      </c>
      <c r="M6" s="12">
        <f>$F6*H6</f>
        <v/>
      </c>
      <c r="N6" s="12">
        <f>$F6*I6</f>
        <v/>
      </c>
      <c r="O6" s="12">
        <f>$F6*J6</f>
        <v/>
      </c>
      <c r="P6" s="12">
        <f>$F6*K6</f>
        <v/>
      </c>
      <c r="Q6" s="7" t="inlineStr">
        <is>
          <t>Phase 0</t>
        </is>
      </c>
      <c r="R6" s="19">
        <f>SUM(G6:K6)</f>
        <v/>
      </c>
    </row>
    <row r="7">
      <c r="A7" s="5" t="inlineStr">
        <is>
          <t>Historical bulk load (Transfer Appliance, Data Transfer Service)</t>
        </is>
      </c>
      <c r="B7" s="26" t="inlineStr">
        <is>
          <t>Data</t>
        </is>
      </c>
      <c r="C7" s="6" t="n">
        <v>1</v>
      </c>
      <c r="D7" s="10" t="n">
        <v>80000</v>
      </c>
      <c r="E7" s="5" t="inlineStr">
        <is>
          <t>lump sum</t>
        </is>
      </c>
      <c r="F7" s="12">
        <f>C7*D7</f>
        <v/>
      </c>
      <c r="G7" s="8" t="n">
        <v>1</v>
      </c>
      <c r="H7" s="8" t="n">
        <v>0</v>
      </c>
      <c r="I7" s="8" t="n">
        <v>0</v>
      </c>
      <c r="J7" s="8" t="n">
        <v>0</v>
      </c>
      <c r="K7" s="8" t="n">
        <v>0</v>
      </c>
      <c r="L7" s="12">
        <f>$F7*G7</f>
        <v/>
      </c>
      <c r="M7" s="12">
        <f>$F7*H7</f>
        <v/>
      </c>
      <c r="N7" s="12">
        <f>$F7*I7</f>
        <v/>
      </c>
      <c r="O7" s="12">
        <f>$F7*J7</f>
        <v/>
      </c>
      <c r="P7" s="12">
        <f>$F7*K7</f>
        <v/>
      </c>
      <c r="Q7" s="7" t="inlineStr">
        <is>
          <t>ADR-025/026</t>
        </is>
      </c>
      <c r="R7" s="19">
        <f>SUM(G7:K7)</f>
        <v/>
      </c>
    </row>
    <row r="8">
      <c r="A8" s="5" t="inlineStr">
        <is>
          <t>Automated translation runs + test harness</t>
        </is>
      </c>
      <c r="B8" s="26" t="inlineStr">
        <is>
          <t>Data</t>
        </is>
      </c>
      <c r="C8" s="6" t="n">
        <v>1</v>
      </c>
      <c r="D8" s="10" t="n">
        <v>250000</v>
      </c>
      <c r="E8" s="5" t="inlineStr">
        <is>
          <t>lump sum</t>
        </is>
      </c>
      <c r="F8" s="12">
        <f>C8*D8</f>
        <v/>
      </c>
      <c r="G8" s="8" t="n">
        <v>0.7</v>
      </c>
      <c r="H8" s="8" t="n">
        <v>0.3</v>
      </c>
      <c r="I8" s="8" t="n">
        <v>0</v>
      </c>
      <c r="J8" s="8" t="n">
        <v>0</v>
      </c>
      <c r="K8" s="8" t="n">
        <v>0</v>
      </c>
      <c r="L8" s="12">
        <f>$F8*G8</f>
        <v/>
      </c>
      <c r="M8" s="12">
        <f>$F8*H8</f>
        <v/>
      </c>
      <c r="N8" s="12">
        <f>$F8*I8</f>
        <v/>
      </c>
      <c r="O8" s="12">
        <f>$F8*J8</f>
        <v/>
      </c>
      <c r="P8" s="12">
        <f>$F8*K8</f>
        <v/>
      </c>
      <c r="Q8" s="7" t="inlineStr">
        <is>
          <t>BigQuery translator (SQL, BTEQ, TPT)</t>
        </is>
      </c>
      <c r="R8" s="19">
        <f>SUM(G8:K8)</f>
        <v/>
      </c>
    </row>
    <row r="9">
      <c r="A9" s="5" t="inlineStr">
        <is>
          <t>Manual rewrite of untranslated objects (1,800 × 30%)</t>
        </is>
      </c>
      <c r="B9" s="26" t="inlineStr">
        <is>
          <t>Data</t>
        </is>
      </c>
      <c r="C9" s="6" t="n">
        <v>540</v>
      </c>
      <c r="D9" s="11" t="n">
        <v>3500</v>
      </c>
      <c r="E9" s="5" t="inlineStr">
        <is>
          <t>per object</t>
        </is>
      </c>
      <c r="F9" s="12">
        <f>C9*D9</f>
        <v/>
      </c>
      <c r="G9" s="8" t="n">
        <v>0.45</v>
      </c>
      <c r="H9" s="8" t="n">
        <v>0.55</v>
      </c>
      <c r="I9" s="8" t="n">
        <v>0</v>
      </c>
      <c r="J9" s="8" t="n">
        <v>0</v>
      </c>
      <c r="K9" s="8" t="n">
        <v>0</v>
      </c>
      <c r="L9" s="12">
        <f>$F9*G9</f>
        <v/>
      </c>
      <c r="M9" s="12">
        <f>$F9*H9</f>
        <v/>
      </c>
      <c r="N9" s="12">
        <f>$F9*I9</f>
        <v/>
      </c>
      <c r="O9" s="12">
        <f>$F9*J9</f>
        <v/>
      </c>
      <c r="P9" s="12">
        <f>$F9*K9</f>
        <v/>
      </c>
      <c r="Q9" s="7" t="inlineStr">
        <is>
          <t>25–35% midpoint; G0 check 3 resizes this</t>
        </is>
      </c>
      <c r="R9" s="19">
        <f>SUM(G9:K9)</f>
        <v/>
      </c>
    </row>
    <row r="10">
      <c r="A10" s="5" t="inlineStr">
        <is>
          <t>Informatica job re-engineering to Dataform (2,400 × 60% retained)</t>
        </is>
      </c>
      <c r="B10" s="26" t="inlineStr">
        <is>
          <t>Data</t>
        </is>
      </c>
      <c r="C10" s="6" t="n">
        <v>1440</v>
      </c>
      <c r="D10" s="10" t="n">
        <v>1800</v>
      </c>
      <c r="E10" s="5" t="inlineStr">
        <is>
          <t>per job</t>
        </is>
      </c>
      <c r="F10" s="12">
        <f>C10*D10</f>
        <v/>
      </c>
      <c r="G10" s="8" t="n">
        <v>0.4</v>
      </c>
      <c r="H10" s="8" t="n">
        <v>0.6</v>
      </c>
      <c r="I10" s="8" t="n">
        <v>0</v>
      </c>
      <c r="J10" s="8" t="n">
        <v>0</v>
      </c>
      <c r="K10" s="8" t="n">
        <v>0</v>
      </c>
      <c r="L10" s="12">
        <f>$F10*G10</f>
        <v/>
      </c>
      <c r="M10" s="12">
        <f>$F10*H10</f>
        <v/>
      </c>
      <c r="N10" s="12">
        <f>$F10*I10</f>
        <v/>
      </c>
      <c r="O10" s="12">
        <f>$F10*J10</f>
        <v/>
      </c>
      <c r="P10" s="12">
        <f>$F10*K10</f>
        <v/>
      </c>
      <c r="Q10" s="7" t="inlineStr">
        <is>
          <t>Rationalization retires ~40% of jobs</t>
        </is>
      </c>
      <c r="R10" s="19">
        <f>SUM(G10:K10)</f>
        <v/>
      </c>
    </row>
    <row r="11">
      <c r="A11" s="5" t="inlineStr">
        <is>
          <t>Unified silver model (party/policy/claim, survivorship, crosswalks)</t>
        </is>
      </c>
      <c r="B11" s="26" t="inlineStr">
        <is>
          <t>Data</t>
        </is>
      </c>
      <c r="C11" s="6" t="n">
        <v>1</v>
      </c>
      <c r="D11" s="10" t="n">
        <v>900000</v>
      </c>
      <c r="E11" s="5" t="inlineStr">
        <is>
          <t>lump sum</t>
        </is>
      </c>
      <c r="F11" s="12">
        <f>C11*D11</f>
        <v/>
      </c>
      <c r="G11" s="8" t="n">
        <v>0.6</v>
      </c>
      <c r="H11" s="8" t="n">
        <v>0.4</v>
      </c>
      <c r="I11" s="8" t="n">
        <v>0</v>
      </c>
      <c r="J11" s="8" t="n">
        <v>0</v>
      </c>
      <c r="K11" s="8" t="n">
        <v>0</v>
      </c>
      <c r="L11" s="12">
        <f>$F11*G11</f>
        <v/>
      </c>
      <c r="M11" s="12">
        <f>$F11*H11</f>
        <v/>
      </c>
      <c r="N11" s="12">
        <f>$F11*I11</f>
        <v/>
      </c>
      <c r="O11" s="12">
        <f>$F11*J11</f>
        <v/>
      </c>
      <c r="P11" s="12">
        <f>$F11*K11</f>
        <v/>
      </c>
      <c r="Q11" s="7" t="inlineStr">
        <is>
          <t>ADR-001, logical-design.md</t>
        </is>
      </c>
      <c r="R11" s="19">
        <f>SUM(G11:K11)</f>
        <v/>
      </c>
    </row>
    <row r="12">
      <c r="A12" s="5" t="inlineStr">
        <is>
          <t>Domain reconciliation + dual-run effort</t>
        </is>
      </c>
      <c r="B12" s="26" t="inlineStr">
        <is>
          <t>Data</t>
        </is>
      </c>
      <c r="C12" s="6" t="n">
        <v>5</v>
      </c>
      <c r="D12" s="10" t="n">
        <v>250000</v>
      </c>
      <c r="E12" s="5" t="inlineStr">
        <is>
          <t>per domain</t>
        </is>
      </c>
      <c r="F12" s="12">
        <f>C12*D12</f>
        <v/>
      </c>
      <c r="G12" s="8" t="n">
        <v>0.4</v>
      </c>
      <c r="H12" s="8" t="n">
        <v>0.6</v>
      </c>
      <c r="I12" s="8" t="n">
        <v>0</v>
      </c>
      <c r="J12" s="8" t="n">
        <v>0</v>
      </c>
      <c r="K12" s="8" t="n">
        <v>0</v>
      </c>
      <c r="L12" s="12">
        <f>$F12*G12</f>
        <v/>
      </c>
      <c r="M12" s="12">
        <f>$F12*H12</f>
        <v/>
      </c>
      <c r="N12" s="12">
        <f>$F12*I12</f>
        <v/>
      </c>
      <c r="O12" s="12">
        <f>$F12*J12</f>
        <v/>
      </c>
      <c r="P12" s="12">
        <f>$F12*K12</f>
        <v/>
      </c>
      <c r="Q12" s="7" t="inlineStr">
        <is>
          <t>ADR-030: claims, policy/billing, reserving, regulatory, remaining</t>
        </is>
      </c>
      <c r="R12" s="19">
        <f>SUM(G12:K12)</f>
        <v/>
      </c>
    </row>
    <row r="13">
      <c r="A13" s="5" t="inlineStr">
        <is>
          <t>Coastal ingestion + 2024 Snowflake account close-out</t>
        </is>
      </c>
      <c r="B13" s="26" t="inlineStr">
        <is>
          <t>Data</t>
        </is>
      </c>
      <c r="C13" s="6" t="n">
        <v>1</v>
      </c>
      <c r="D13" s="10" t="n">
        <v>200000</v>
      </c>
      <c r="E13" s="5" t="inlineStr">
        <is>
          <t>lump sum</t>
        </is>
      </c>
      <c r="F13" s="12">
        <f>C13*D13</f>
        <v/>
      </c>
      <c r="G13" s="8" t="n">
        <v>1</v>
      </c>
      <c r="H13" s="8" t="n">
        <v>0</v>
      </c>
      <c r="I13" s="8" t="n">
        <v>0</v>
      </c>
      <c r="J13" s="8" t="n">
        <v>0</v>
      </c>
      <c r="K13" s="8" t="n">
        <v>0</v>
      </c>
      <c r="L13" s="12">
        <f>$F13*G13</f>
        <v/>
      </c>
      <c r="M13" s="12">
        <f>$F13*H13</f>
        <v/>
      </c>
      <c r="N13" s="12">
        <f>$F13*I13</f>
        <v/>
      </c>
      <c r="O13" s="12">
        <f>$F13*J13</f>
        <v/>
      </c>
      <c r="P13" s="12">
        <f>$F13*K13</f>
        <v/>
      </c>
      <c r="Q13" s="7" t="inlineStr">
        <is>
          <t>Phases 0 and 5</t>
        </is>
      </c>
      <c r="R13" s="19">
        <f>SUM(G13:K13)</f>
        <v/>
      </c>
    </row>
    <row r="14">
      <c r="A14" s="5" t="inlineStr">
        <is>
          <t>Tableau repointing of retained reports</t>
        </is>
      </c>
      <c r="B14" s="26" t="inlineStr">
        <is>
          <t>Data</t>
        </is>
      </c>
      <c r="C14" s="6" t="n">
        <v>1</v>
      </c>
      <c r="D14" s="10" t="n">
        <v>350000</v>
      </c>
      <c r="E14" s="5" t="inlineStr">
        <is>
          <t>lump sum</t>
        </is>
      </c>
      <c r="F14" s="12">
        <f>C14*D14</f>
        <v/>
      </c>
      <c r="G14" s="8" t="n">
        <v>0.5</v>
      </c>
      <c r="H14" s="8" t="n">
        <v>0.5</v>
      </c>
      <c r="I14" s="8" t="n">
        <v>0</v>
      </c>
      <c r="J14" s="8" t="n">
        <v>0</v>
      </c>
      <c r="K14" s="8" t="n">
        <v>0</v>
      </c>
      <c r="L14" s="12">
        <f>$F14*G14</f>
        <v/>
      </c>
      <c r="M14" s="12">
        <f>$F14*H14</f>
        <v/>
      </c>
      <c r="N14" s="12">
        <f>$F14*I14</f>
        <v/>
      </c>
      <c r="O14" s="12">
        <f>$F14*J14</f>
        <v/>
      </c>
      <c r="P14" s="12">
        <f>$F14*K14</f>
        <v/>
      </c>
      <c r="Q14" s="7" t="inlineStr">
        <is>
          <t>~30% of reports retained</t>
        </is>
      </c>
      <c r="R14" s="19">
        <f>SUM(G14:K14)</f>
        <v/>
      </c>
    </row>
    <row r="15">
      <c r="A15" s="5" t="inlineStr">
        <is>
          <t>SAS program porting to Python/SQL (900 × ~65% retained)</t>
        </is>
      </c>
      <c r="B15" s="26" t="inlineStr">
        <is>
          <t>Data</t>
        </is>
      </c>
      <c r="C15" s="6" t="n">
        <v>600</v>
      </c>
      <c r="D15" s="10" t="n">
        <v>2500</v>
      </c>
      <c r="E15" s="5" t="inlineStr">
        <is>
          <t>per program</t>
        </is>
      </c>
      <c r="F15" s="12">
        <f>C15*D15</f>
        <v/>
      </c>
      <c r="G15" s="8" t="n">
        <v>0.25</v>
      </c>
      <c r="H15" s="8" t="n">
        <v>0.75</v>
      </c>
      <c r="I15" s="8" t="n">
        <v>0</v>
      </c>
      <c r="J15" s="8" t="n">
        <v>0</v>
      </c>
      <c r="K15" s="8" t="n">
        <v>0</v>
      </c>
      <c r="L15" s="12">
        <f>$F15*G15</f>
        <v/>
      </c>
      <c r="M15" s="12">
        <f>$F15*H15</f>
        <v/>
      </c>
      <c r="N15" s="12">
        <f>$F15*I15</f>
        <v/>
      </c>
      <c r="O15" s="12">
        <f>$F15*J15</f>
        <v/>
      </c>
      <c r="P15" s="12">
        <f>$F15*K15</f>
        <v/>
      </c>
      <c r="Q15" s="7" t="inlineStr">
        <is>
          <t>Phase 8, M9–M24</t>
        </is>
      </c>
      <c r="R15" s="19">
        <f>SUM(G15:K15)</f>
        <v/>
      </c>
    </row>
    <row r="16">
      <c r="A16" s="5" t="inlineStr">
        <is>
          <t>Decommission + final archive (Teradata, Informatica)</t>
        </is>
      </c>
      <c r="B16" s="26" t="inlineStr">
        <is>
          <t>Data</t>
        </is>
      </c>
      <c r="C16" s="6" t="n">
        <v>1</v>
      </c>
      <c r="D16" s="10" t="n">
        <v>200000</v>
      </c>
      <c r="E16" s="5" t="inlineStr">
        <is>
          <t>lump sum</t>
        </is>
      </c>
      <c r="F16" s="12">
        <f>C16*D16</f>
        <v/>
      </c>
      <c r="G16" s="8" t="n">
        <v>0</v>
      </c>
      <c r="H16" s="8" t="n">
        <v>1</v>
      </c>
      <c r="I16" s="8" t="n">
        <v>0</v>
      </c>
      <c r="J16" s="8" t="n">
        <v>0</v>
      </c>
      <c r="K16" s="8" t="n">
        <v>0</v>
      </c>
      <c r="L16" s="12">
        <f>$F16*G16</f>
        <v/>
      </c>
      <c r="M16" s="12">
        <f>$F16*H16</f>
        <v/>
      </c>
      <c r="N16" s="12">
        <f>$F16*I16</f>
        <v/>
      </c>
      <c r="O16" s="12">
        <f>$F16*J16</f>
        <v/>
      </c>
      <c r="P16" s="12">
        <f>$F16*K16</f>
        <v/>
      </c>
      <c r="Q16" s="7" t="inlineStr">
        <is>
          <t>M19–M20, gate T</t>
        </is>
      </c>
      <c r="R16" s="19">
        <f>SUM(G16:K16)</f>
        <v/>
      </c>
    </row>
    <row r="17">
      <c r="A17" s="5" t="inlineStr">
        <is>
          <t>Program management + change (data track)</t>
        </is>
      </c>
      <c r="B17" s="26" t="inlineStr">
        <is>
          <t>Data</t>
        </is>
      </c>
      <c r="C17" s="6" t="n">
        <v>1</v>
      </c>
      <c r="D17" s="10" t="n">
        <v>1000000</v>
      </c>
      <c r="E17" s="5" t="inlineStr">
        <is>
          <t>lump sum</t>
        </is>
      </c>
      <c r="F17" s="12">
        <f>C17*D17</f>
        <v/>
      </c>
      <c r="G17" s="8" t="n">
        <v>0.5</v>
      </c>
      <c r="H17" s="8" t="n">
        <v>0.5</v>
      </c>
      <c r="I17" s="8" t="n">
        <v>0</v>
      </c>
      <c r="J17" s="8" t="n">
        <v>0</v>
      </c>
      <c r="K17" s="8" t="n">
        <v>0</v>
      </c>
      <c r="L17" s="12">
        <f>$F17*G17</f>
        <v/>
      </c>
      <c r="M17" s="12">
        <f>$F17*H17</f>
        <v/>
      </c>
      <c r="N17" s="12">
        <f>$F17*I17</f>
        <v/>
      </c>
      <c r="O17" s="12">
        <f>$F17*J17</f>
        <v/>
      </c>
      <c r="P17" s="12">
        <f>$F17*K17</f>
        <v/>
      </c>
      <c r="Q17" s="7" t="inlineStr">
        <is>
          <t>Illustrative</t>
        </is>
      </c>
      <c r="R17" s="19">
        <f>SUM(G17:K17)</f>
        <v/>
      </c>
    </row>
    <row r="18">
      <c r="A18" s="5" t="inlineStr">
        <is>
          <t>Assistant build (6 engineers × 6 months)</t>
        </is>
      </c>
      <c r="B18" s="26" t="inlineStr">
        <is>
          <t>AI</t>
        </is>
      </c>
      <c r="C18" s="6" t="n">
        <v>36</v>
      </c>
      <c r="D18" s="10" t="n">
        <v>15000</v>
      </c>
      <c r="E18" s="5" t="inlineStr">
        <is>
          <t>per eng-month</t>
        </is>
      </c>
      <c r="F18" s="12">
        <f>C18*D18</f>
        <v/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12">
        <f>$F18*G18</f>
        <v/>
      </c>
      <c r="M18" s="12">
        <f>$F18*H18</f>
        <v/>
      </c>
      <c r="N18" s="12">
        <f>$F18*I18</f>
        <v/>
      </c>
      <c r="O18" s="12">
        <f>$F18*J18</f>
        <v/>
      </c>
      <c r="P18" s="12">
        <f>$F18*K18</f>
        <v/>
      </c>
      <c r="Q18" s="7" t="inlineStr">
        <is>
          <t>Phase 1, M3–M6 + pilot hardening</t>
        </is>
      </c>
      <c r="R18" s="19">
        <f>SUM(G18:K18)</f>
        <v/>
      </c>
    </row>
    <row r="19">
      <c r="A19" s="5" t="inlineStr">
        <is>
          <t>Golden set + red-team suite (Claims SMEs, red team)</t>
        </is>
      </c>
      <c r="B19" s="26" t="inlineStr">
        <is>
          <t>AI</t>
        </is>
      </c>
      <c r="C19" s="6" t="n">
        <v>1</v>
      </c>
      <c r="D19" s="10" t="n">
        <v>250000</v>
      </c>
      <c r="E19" s="5" t="inlineStr">
        <is>
          <t>lump sum</t>
        </is>
      </c>
      <c r="F19" s="12">
        <f>C19*D19</f>
        <v/>
      </c>
      <c r="G19" s="8" t="n">
        <v>1</v>
      </c>
      <c r="H19" s="8" t="n">
        <v>0</v>
      </c>
      <c r="I19" s="8" t="n">
        <v>0</v>
      </c>
      <c r="J19" s="8" t="n">
        <v>0</v>
      </c>
      <c r="K19" s="8" t="n">
        <v>0</v>
      </c>
      <c r="L19" s="12">
        <f>$F19*G19</f>
        <v/>
      </c>
      <c r="M19" s="12">
        <f>$F19*H19</f>
        <v/>
      </c>
      <c r="N19" s="12">
        <f>$F19*I19</f>
        <v/>
      </c>
      <c r="O19" s="12">
        <f>$F19*J19</f>
        <v/>
      </c>
      <c r="P19" s="12">
        <f>$F19*K19</f>
        <v/>
      </c>
      <c r="Q19" s="7" t="inlineStr">
        <is>
          <t>ADR-007, ~1,500 questions</t>
        </is>
      </c>
      <c r="R19" s="19">
        <f>SUM(G19:K19)</f>
        <v/>
      </c>
    </row>
    <row r="20">
      <c r="A20" s="5" t="inlineStr">
        <is>
          <t>Initial document indexing (hot + reference tiers, OCR, embeddings)</t>
        </is>
      </c>
      <c r="B20" s="26" t="inlineStr">
        <is>
          <t>AI</t>
        </is>
      </c>
      <c r="C20" s="6" t="n">
        <v>1</v>
      </c>
      <c r="D20" s="10" t="n">
        <v>200000</v>
      </c>
      <c r="E20" s="5" t="inlineStr">
        <is>
          <t>lump sum</t>
        </is>
      </c>
      <c r="F20" s="12">
        <f>C20*D20</f>
        <v/>
      </c>
      <c r="G20" s="8" t="n">
        <v>0.6</v>
      </c>
      <c r="H20" s="8" t="n">
        <v>0.4</v>
      </c>
      <c r="I20" s="8" t="n">
        <v>0</v>
      </c>
      <c r="J20" s="8" t="n">
        <v>0</v>
      </c>
      <c r="K20" s="8" t="n">
        <v>0</v>
      </c>
      <c r="L20" s="12">
        <f>$F20*G20</f>
        <v/>
      </c>
      <c r="M20" s="12">
        <f>$F20*H20</f>
        <v/>
      </c>
      <c r="N20" s="12">
        <f>$F20*I20</f>
        <v/>
      </c>
      <c r="O20" s="12">
        <f>$F20*J20</f>
        <v/>
      </c>
      <c r="P20" s="12">
        <f>$F20*K20</f>
        <v/>
      </c>
      <c r="Q20" s="7" t="inlineStr">
        <is>
          <t>ADR-006; Coastal from M12</t>
        </is>
      </c>
      <c r="R20" s="19">
        <f>SUM(G20:K20)</f>
        <v/>
      </c>
    </row>
    <row r="21">
      <c r="A21" s="5" t="inlineStr">
        <is>
          <t>Training and adoption (4,400 users)</t>
        </is>
      </c>
      <c r="B21" s="26" t="inlineStr">
        <is>
          <t>AI</t>
        </is>
      </c>
      <c r="C21" s="6" t="n">
        <v>1</v>
      </c>
      <c r="D21" s="10" t="n">
        <v>350000</v>
      </c>
      <c r="E21" s="5" t="inlineStr">
        <is>
          <t>lump sum</t>
        </is>
      </c>
      <c r="F21" s="12">
        <f>C21*D21</f>
        <v/>
      </c>
      <c r="G21" s="8" t="n">
        <v>0.5</v>
      </c>
      <c r="H21" s="8" t="n">
        <v>0.5</v>
      </c>
      <c r="I21" s="8" t="n">
        <v>0</v>
      </c>
      <c r="J21" s="8" t="n">
        <v>0</v>
      </c>
      <c r="K21" s="8" t="n">
        <v>0</v>
      </c>
      <c r="L21" s="12">
        <f>$F21*G21</f>
        <v/>
      </c>
      <c r="M21" s="12">
        <f>$F21*H21</f>
        <v/>
      </c>
      <c r="N21" s="12">
        <f>$F21*I21</f>
        <v/>
      </c>
      <c r="O21" s="12">
        <f>$F21*J21</f>
        <v/>
      </c>
      <c r="P21" s="12">
        <f>$F21*K21</f>
        <v/>
      </c>
      <c r="Q21" s="7" t="inlineStr">
        <is>
          <t>ADR-029 scale phase</t>
        </is>
      </c>
      <c r="R21" s="19">
        <f>SUM(G21:K21)</f>
        <v/>
      </c>
    </row>
    <row r="22">
      <c r="A22" s="17" t="inlineStr">
        <is>
          <t>Total one-time — Data track</t>
        </is>
      </c>
      <c r="F22" s="18">
        <f>SUMIF($B$5:$B$21,"Data",F$5:F$21)</f>
        <v/>
      </c>
      <c r="L22" s="18">
        <f>SUMIF($B$5:$B$21,"Data",L$5:L$21)</f>
        <v/>
      </c>
      <c r="M22" s="18">
        <f>SUMIF($B$5:$B$21,"Data",M$5:M$21)</f>
        <v/>
      </c>
      <c r="N22" s="18">
        <f>SUMIF($B$5:$B$21,"Data",N$5:N$21)</f>
        <v/>
      </c>
      <c r="O22" s="18">
        <f>SUMIF($B$5:$B$21,"Data",O$5:O$21)</f>
        <v/>
      </c>
      <c r="P22" s="18">
        <f>SUMIF($B$5:$B$21,"Data",P$5:P$21)</f>
        <v/>
      </c>
    </row>
    <row r="23">
      <c r="A23" s="17" t="inlineStr">
        <is>
          <t>Total one-time — AI track</t>
        </is>
      </c>
      <c r="F23" s="18">
        <f>SUMIF($B$5:$B$21,"AI",F$5:F$21)</f>
        <v/>
      </c>
      <c r="L23" s="18">
        <f>SUMIF($B$5:$B$21,"AI",L$5:L$21)</f>
        <v/>
      </c>
      <c r="M23" s="18">
        <f>SUMIF($B$5:$B$21,"AI",M$5:M$21)</f>
        <v/>
      </c>
      <c r="N23" s="18">
        <f>SUMIF($B$5:$B$21,"AI",N$5:N$21)</f>
        <v/>
      </c>
      <c r="O23" s="18">
        <f>SUMIF($B$5:$B$21,"AI",O$5:O$21)</f>
        <v/>
      </c>
      <c r="P23" s="18">
        <f>SUMIF($B$5:$B$21,"AI",P$5:P$21)</f>
        <v/>
      </c>
    </row>
    <row r="24">
      <c r="A24" s="17" t="inlineStr">
        <is>
          <t>Total one-time</t>
        </is>
      </c>
      <c r="F24" s="18">
        <f>F22+F23</f>
        <v/>
      </c>
      <c r="L24" s="18">
        <f>L22+L23</f>
        <v/>
      </c>
      <c r="M24" s="18">
        <f>M22+M23</f>
        <v/>
      </c>
      <c r="N24" s="18">
        <f>N22+N23</f>
        <v/>
      </c>
      <c r="O24" s="18">
        <f>O22+O23</f>
        <v/>
      </c>
      <c r="P24" s="18">
        <f>P22+P23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62" customWidth="1" min="8" max="8"/>
  </cols>
  <sheetData>
    <row r="1">
      <c r="A1" s="1" t="inlineStr">
        <is>
          <t>Five-Year Cost and Value — GCP Target vs. Status Quo (illustrative)</t>
        </is>
      </c>
    </row>
    <row r="2">
      <c r="A2" s="2" t="inlineStr">
        <is>
          <t>All figures in $ unless stated. Year 1 = Oct 2026–Sep 2027. Green = links to other sheets.</t>
        </is>
      </c>
    </row>
    <row r="4">
      <c r="A4" s="4" t="inlineStr">
        <is>
          <t>Line</t>
        </is>
      </c>
      <c r="B4" s="4" t="inlineStr">
        <is>
          <t>Y1</t>
        </is>
      </c>
      <c r="C4" s="4" t="inlineStr">
        <is>
          <t>Y2</t>
        </is>
      </c>
      <c r="D4" s="4" t="inlineStr">
        <is>
          <t>Y3</t>
        </is>
      </c>
      <c r="E4" s="4" t="inlineStr">
        <is>
          <t>Y4</t>
        </is>
      </c>
      <c r="F4" s="4" t="inlineStr">
        <is>
          <t>Y5</t>
        </is>
      </c>
      <c r="G4" s="4" t="inlineStr">
        <is>
          <t>5-yr total</t>
        </is>
      </c>
      <c r="H4" s="4" t="inlineStr">
        <is>
          <t>Formula basis</t>
        </is>
      </c>
    </row>
    <row r="5">
      <c r="A5" s="20" t="inlineStr">
        <is>
          <t>A1. Data platform — STATUS QUO (renew Teradata, refresh appliance, keep SAS + Informatica)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5" t="inlineStr">
        <is>
          <t>Teradata licence and support</t>
        </is>
      </c>
      <c r="B6" s="12">
        <f>Assumptions!$B$21</f>
        <v/>
      </c>
      <c r="C6" s="12">
        <f>Assumptions!$B$21</f>
        <v/>
      </c>
      <c r="D6" s="12">
        <f>Assumptions!$B$21</f>
        <v/>
      </c>
      <c r="E6" s="12">
        <f>Assumptions!$B$21</f>
        <v/>
      </c>
      <c r="F6" s="12">
        <f>Assumptions!$B$21</f>
        <v/>
      </c>
      <c r="G6" s="12">
        <f>SUM(B6:F6)</f>
        <v/>
      </c>
      <c r="H6" s="7" t="inlineStr">
        <is>
          <t>Flat — conservative (no renewal uplift)</t>
        </is>
      </c>
    </row>
    <row r="7">
      <c r="A7" s="5" t="inlineStr">
        <is>
          <t>Appliance refresh</t>
        </is>
      </c>
      <c r="B7" s="12">
        <f>Assumptions!$B$27*Assumptions!$B$11</f>
        <v/>
      </c>
      <c r="C7" s="12">
        <f>Assumptions!$B$27*Assumptions!$C$11</f>
        <v/>
      </c>
      <c r="D7" s="12">
        <f>Assumptions!$B$27*Assumptions!$D$11</f>
        <v/>
      </c>
      <c r="E7" s="12">
        <f>Assumptions!$B$27*Assumptions!$E$11</f>
        <v/>
      </c>
      <c r="F7" s="12">
        <f>Assumptions!$B$27*Assumptions!$F$11</f>
        <v/>
      </c>
      <c r="G7" s="12">
        <f>SUM(B7:F7)</f>
        <v/>
      </c>
      <c r="H7" s="7" t="inlineStr">
        <is>
          <t>current-state.md §6</t>
        </is>
      </c>
    </row>
    <row r="8">
      <c r="A8" s="5" t="inlineStr">
        <is>
          <t>SAS</t>
        </is>
      </c>
      <c r="B8" s="12">
        <f>Assumptions!$B$24</f>
        <v/>
      </c>
      <c r="C8" s="12">
        <f>Assumptions!$B$24</f>
        <v/>
      </c>
      <c r="D8" s="12">
        <f>Assumptions!$B$24</f>
        <v/>
      </c>
      <c r="E8" s="12">
        <f>Assumptions!$B$24</f>
        <v/>
      </c>
      <c r="F8" s="12">
        <f>Assumptions!$B$24</f>
        <v/>
      </c>
      <c r="G8" s="12">
        <f>SUM(B8:F8)</f>
        <v/>
      </c>
      <c r="H8" s="7" t="inlineStr">
        <is>
          <t>Flat</t>
        </is>
      </c>
    </row>
    <row r="9">
      <c r="A9" s="5" t="inlineStr">
        <is>
          <t>Informatica</t>
        </is>
      </c>
      <c r="B9" s="12">
        <f>Assumptions!$B$25</f>
        <v/>
      </c>
      <c r="C9" s="12">
        <f>Assumptions!$B$25</f>
        <v/>
      </c>
      <c r="D9" s="12">
        <f>Assumptions!$B$25</f>
        <v/>
      </c>
      <c r="E9" s="12">
        <f>Assumptions!$B$25</f>
        <v/>
      </c>
      <c r="F9" s="12">
        <f>Assumptions!$B$25</f>
        <v/>
      </c>
      <c r="G9" s="12">
        <f>SUM(B9:F9)</f>
        <v/>
      </c>
      <c r="H9" s="7" t="inlineStr">
        <is>
          <t>Flat</t>
        </is>
      </c>
    </row>
    <row r="10">
      <c r="A10" s="5" t="inlineStr">
        <is>
          <t>Data-center hosting</t>
        </is>
      </c>
      <c r="B10" s="12">
        <f>Assumptions!$B$26</f>
        <v/>
      </c>
      <c r="C10" s="12">
        <f>Assumptions!$B$26</f>
        <v/>
      </c>
      <c r="D10" s="12">
        <f>Assumptions!$B$26</f>
        <v/>
      </c>
      <c r="E10" s="12">
        <f>Assumptions!$B$26</f>
        <v/>
      </c>
      <c r="F10" s="12">
        <f>Assumptions!$B$26</f>
        <v/>
      </c>
      <c r="G10" s="12">
        <f>SUM(B10:F10)</f>
        <v/>
      </c>
      <c r="H10" s="7" t="inlineStr">
        <is>
          <t>Flat</t>
        </is>
      </c>
    </row>
    <row r="11">
      <c r="A11" s="17" t="inlineStr">
        <is>
          <t>STATUS QUO TOTAL</t>
        </is>
      </c>
      <c r="B11" s="18">
        <f>B6+B7+B8+B9+B10</f>
        <v/>
      </c>
      <c r="C11" s="18">
        <f>C6+C7+C8+C9+C10</f>
        <v/>
      </c>
      <c r="D11" s="18">
        <f>D6+D7+D8+D9+D10</f>
        <v/>
      </c>
      <c r="E11" s="18">
        <f>E6+E7+E8+E9+E10</f>
        <v/>
      </c>
      <c r="F11" s="18">
        <f>F6+F7+F8+F9+F10</f>
        <v/>
      </c>
      <c r="G11" s="18">
        <f>G6+G7+G8+G9+G10</f>
        <v/>
      </c>
    </row>
    <row r="13">
      <c r="A13" s="20" t="inlineStr">
        <is>
          <t>A2. Data platform — TARGET (GCP-native, per the Step 11 roadmap)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5" t="inlineStr">
        <is>
          <t>Teradata at current rate</t>
        </is>
      </c>
      <c r="B14" s="12">
        <f>Assumptions!$B$21/12*Assumptions!$B$6</f>
        <v/>
      </c>
      <c r="C14" s="12">
        <f>Assumptions!$B$21/12*Assumptions!$C$6</f>
        <v/>
      </c>
      <c r="D14" s="12">
        <f>Assumptions!$B$21/12*Assumptions!$D$6</f>
        <v/>
      </c>
      <c r="E14" s="12">
        <f>Assumptions!$B$21/12*Assumptions!$E$6</f>
        <v/>
      </c>
      <c r="F14" s="12">
        <f>Assumptions!$B$21/12*Assumptions!$F$6</f>
        <v/>
      </c>
      <c r="G14" s="12">
        <f>SUM(B14:F14)</f>
        <v/>
      </c>
      <c r="H14" s="7" t="inlineStr">
        <is>
          <t>$/yr ÷ 12 × months</t>
        </is>
      </c>
    </row>
    <row r="15">
      <c r="A15" s="5" t="inlineStr">
        <is>
          <t>Teradata bridge (+25%)</t>
        </is>
      </c>
      <c r="B15" s="12">
        <f>Assumptions!$B$21*(1+Assumptions!$B$22)/12*Assumptions!$B$7</f>
        <v/>
      </c>
      <c r="C15" s="12">
        <f>Assumptions!$B$21*(1+Assumptions!$B$22)/12*Assumptions!$C$7</f>
        <v/>
      </c>
      <c r="D15" s="12">
        <f>Assumptions!$B$21*(1+Assumptions!$B$22)/12*Assumptions!$D$7</f>
        <v/>
      </c>
      <c r="E15" s="12">
        <f>Assumptions!$B$21*(1+Assumptions!$B$22)/12*Assumptions!$E$7</f>
        <v/>
      </c>
      <c r="F15" s="12">
        <f>Assumptions!$B$21*(1+Assumptions!$B$22)/12*Assumptions!$F$7</f>
        <v/>
      </c>
      <c r="G15" s="12">
        <f>SUM(B15:F15)</f>
        <v/>
      </c>
      <c r="H15" s="7" t="inlineStr">
        <is>
          <t>ADR-028</t>
        </is>
      </c>
    </row>
    <row r="16">
      <c r="A16" s="5" t="inlineStr">
        <is>
          <t>Teradata extended hardware support</t>
        </is>
      </c>
      <c r="B16" s="12">
        <f>Assumptions!$B$23/12*Assumptions!$B$7</f>
        <v/>
      </c>
      <c r="C16" s="12">
        <f>Assumptions!$B$23/12*Assumptions!$C$7</f>
        <v/>
      </c>
      <c r="D16" s="12">
        <f>Assumptions!$B$23/12*Assumptions!$D$7</f>
        <v/>
      </c>
      <c r="E16" s="12">
        <f>Assumptions!$B$23/12*Assumptions!$E$7</f>
        <v/>
      </c>
      <c r="F16" s="12">
        <f>Assumptions!$B$23/12*Assumptions!$F$7</f>
        <v/>
      </c>
      <c r="G16" s="12">
        <f>SUM(B16:F16)</f>
        <v/>
      </c>
      <c r="H16" s="7" t="inlineStr">
        <is>
          <t>ADR-028 negotiating term</t>
        </is>
      </c>
    </row>
    <row r="17">
      <c r="A17" s="5" t="inlineStr">
        <is>
          <t>Informatica (until M20)</t>
        </is>
      </c>
      <c r="B17" s="12">
        <f>Assumptions!$B$25/12*Assumptions!$B$8</f>
        <v/>
      </c>
      <c r="C17" s="12">
        <f>Assumptions!$B$25/12*Assumptions!$C$8</f>
        <v/>
      </c>
      <c r="D17" s="12">
        <f>Assumptions!$B$25/12*Assumptions!$D$8</f>
        <v/>
      </c>
      <c r="E17" s="12">
        <f>Assumptions!$B$25/12*Assumptions!$E$8</f>
        <v/>
      </c>
      <c r="F17" s="12">
        <f>Assumptions!$B$25/12*Assumptions!$F$8</f>
        <v/>
      </c>
      <c r="G17" s="12">
        <f>SUM(B17:F17)</f>
        <v/>
      </c>
      <c r="H17" s="7" t="inlineStr">
        <is>
          <t>$/yr ÷ 12 × months</t>
        </is>
      </c>
    </row>
    <row r="18">
      <c r="A18" s="5" t="inlineStr">
        <is>
          <t>SAS (step-down to M24)</t>
        </is>
      </c>
      <c r="B18" s="12">
        <f>Assumptions!$B$24*Assumptions!$B$9</f>
        <v/>
      </c>
      <c r="C18" s="12">
        <f>Assumptions!$B$24*Assumptions!$C$9</f>
        <v/>
      </c>
      <c r="D18" s="12">
        <f>Assumptions!$B$24*Assumptions!$D$9</f>
        <v/>
      </c>
      <c r="E18" s="12">
        <f>Assumptions!$B$24*Assumptions!$E$9</f>
        <v/>
      </c>
      <c r="F18" s="12">
        <f>Assumptions!$B$24*Assumptions!$F$9</f>
        <v/>
      </c>
      <c r="G18" s="12">
        <f>SUM(B18:F18)</f>
        <v/>
      </c>
      <c r="H18" s="7" t="inlineStr">
        <is>
          <t>$/yr × share</t>
        </is>
      </c>
    </row>
    <row r="19">
      <c r="A19" s="5" t="inlineStr">
        <is>
          <t>Data-center hosting</t>
        </is>
      </c>
      <c r="B19" s="12">
        <f>Assumptions!$B$26*Assumptions!$B$10</f>
        <v/>
      </c>
      <c r="C19" s="12">
        <f>Assumptions!$B$26*Assumptions!$C$10</f>
        <v/>
      </c>
      <c r="D19" s="12">
        <f>Assumptions!$B$26*Assumptions!$D$10</f>
        <v/>
      </c>
      <c r="E19" s="12">
        <f>Assumptions!$B$26*Assumptions!$E$10</f>
        <v/>
      </c>
      <c r="F19" s="12">
        <f>Assumptions!$B$26*Assumptions!$F$10</f>
        <v/>
      </c>
      <c r="G19" s="12">
        <f>SUM(B19:F19)</f>
        <v/>
      </c>
      <c r="H19" s="7" t="inlineStr">
        <is>
          <t>$/yr × share</t>
        </is>
      </c>
    </row>
    <row r="20">
      <c r="A20" s="5" t="inlineStr">
        <is>
          <t>GCP platform services incl. support</t>
        </is>
      </c>
      <c r="B20" s="27">
        <f>PlatformRunRate!$B$20*Assumptions!$B$12</f>
        <v/>
      </c>
      <c r="C20" s="27">
        <f>PlatformRunRate!$B$20*Assumptions!$C$12</f>
        <v/>
      </c>
      <c r="D20" s="27">
        <f>PlatformRunRate!$B$20*Assumptions!$D$12</f>
        <v/>
      </c>
      <c r="E20" s="27">
        <f>PlatformRunRate!$B$20*Assumptions!$E$12</f>
        <v/>
      </c>
      <c r="F20" s="27">
        <f>PlatformRunRate!$B$20*Assumptions!$F$12</f>
        <v/>
      </c>
      <c r="G20" s="12">
        <f>SUM(B20:F20)</f>
        <v/>
      </c>
      <c r="H20" s="7" t="inlineStr">
        <is>
          <t>PlatformRunRate × share live</t>
        </is>
      </c>
    </row>
    <row r="21">
      <c r="A21" s="5" t="inlineStr">
        <is>
          <t>GCP storage (grows 20%/yr)</t>
        </is>
      </c>
      <c r="B21" s="27">
        <f>PlatformRunRate!$B$22*Assumptions!$B$12*(1+Assumptions!$B$40)^0</f>
        <v/>
      </c>
      <c r="C21" s="27">
        <f>PlatformRunRate!$B$22*Assumptions!$C$12*(1+Assumptions!$B$40)^1</f>
        <v/>
      </c>
      <c r="D21" s="27">
        <f>PlatformRunRate!$B$22*Assumptions!$D$12*(1+Assumptions!$B$40)^2</f>
        <v/>
      </c>
      <c r="E21" s="27">
        <f>PlatformRunRate!$B$22*Assumptions!$E$12*(1+Assumptions!$B$40)^3</f>
        <v/>
      </c>
      <c r="F21" s="27">
        <f>PlatformRunRate!$B$22*Assumptions!$F$12*(1+Assumptions!$B$40)^4</f>
        <v/>
      </c>
      <c r="G21" s="12">
        <f>SUM(B21:F21)</f>
        <v/>
      </c>
      <c r="H21" s="7" t="inlineStr">
        <is>
          <t>Today's storage × share live × growth</t>
        </is>
      </c>
    </row>
    <row r="22">
      <c r="A22" s="5" t="inlineStr">
        <is>
          <t>Dual-run migration reservation</t>
        </is>
      </c>
      <c r="B22" s="12">
        <f>Assumptions!$B$13*Assumptions!$B$54*8760</f>
        <v/>
      </c>
      <c r="C22" s="12">
        <f>Assumptions!$C$13*Assumptions!$B$54*8760</f>
        <v/>
      </c>
      <c r="D22" s="12">
        <f>Assumptions!$D$13*Assumptions!$B$54*8760</f>
        <v/>
      </c>
      <c r="E22" s="12">
        <f>Assumptions!$E$13*Assumptions!$B$54*8760</f>
        <v/>
      </c>
      <c r="F22" s="12">
        <f>Assumptions!$F$13*Assumptions!$B$54*8760</f>
        <v/>
      </c>
      <c r="G22" s="12">
        <f>SUM(B22:F22)</f>
        <v/>
      </c>
      <c r="H22" s="7" t="inlineStr">
        <is>
          <t>ADR-030 avg slots × PAYG × 8,760</t>
        </is>
      </c>
    </row>
    <row r="23">
      <c r="A23" s="5" t="inlineStr">
        <is>
          <t>FinOps analyst</t>
        </is>
      </c>
      <c r="B23" s="12">
        <f>Assumptions!$B$55</f>
        <v/>
      </c>
      <c r="C23" s="12">
        <f>Assumptions!$B$55</f>
        <v/>
      </c>
      <c r="D23" s="12">
        <f>Assumptions!$B$55</f>
        <v/>
      </c>
      <c r="E23" s="12">
        <f>Assumptions!$B$55</f>
        <v/>
      </c>
      <c r="F23" s="12">
        <f>Assumptions!$B$55</f>
        <v/>
      </c>
      <c r="G23" s="12">
        <f>SUM(B23:F23)</f>
        <v/>
      </c>
      <c r="H23" s="7" t="inlineStr">
        <is>
          <t>ADR-008 (people; outside the NFR-11 test)</t>
        </is>
      </c>
    </row>
    <row r="24">
      <c r="A24" s="5" t="inlineStr">
        <is>
          <t>One-time program — Data track</t>
        </is>
      </c>
      <c r="B24" s="27">
        <f>OneTime!L22</f>
        <v/>
      </c>
      <c r="C24" s="27">
        <f>OneTime!M22</f>
        <v/>
      </c>
      <c r="D24" s="27">
        <f>OneTime!N22</f>
        <v/>
      </c>
      <c r="E24" s="27">
        <f>OneTime!O22</f>
        <v/>
      </c>
      <c r="F24" s="27">
        <f>OneTime!P22</f>
        <v/>
      </c>
      <c r="G24" s="12">
        <f>SUM(B24:F24)</f>
        <v/>
      </c>
      <c r="H24" s="7" t="inlineStr">
        <is>
          <t>OneTime sheet</t>
        </is>
      </c>
    </row>
    <row r="25">
      <c r="A25" s="17" t="inlineStr">
        <is>
          <t>TARGET TOTAL</t>
        </is>
      </c>
      <c r="B25" s="18">
        <f>B14+B15+B16+B17+B18+B19+B20+B21+B22+B23+B24</f>
        <v/>
      </c>
      <c r="C25" s="18">
        <f>C14+C15+C16+C17+C18+C19+C20+C21+C22+C23+C24</f>
        <v/>
      </c>
      <c r="D25" s="18">
        <f>D14+D15+D16+D17+D18+D19+D20+D21+D22+D23+D24</f>
        <v/>
      </c>
      <c r="E25" s="18">
        <f>E14+E15+E16+E17+E18+E19+E20+E21+E22+E23+E24</f>
        <v/>
      </c>
      <c r="F25" s="18">
        <f>F14+F15+F16+F17+F18+F19+F20+F21+F22+F23+F24</f>
        <v/>
      </c>
      <c r="G25" s="18">
        <f>G14+G15+G16+G17+G18+G19+G20+G21+G22+G23+G24</f>
        <v/>
      </c>
    </row>
    <row r="27">
      <c r="A27" s="17" t="inlineStr">
        <is>
          <t>DATA PLATFORM SAVING (status quo − target)</t>
        </is>
      </c>
      <c r="B27" s="18">
        <f>B11-B25</f>
        <v/>
      </c>
      <c r="C27" s="18">
        <f>C11-C25</f>
        <v/>
      </c>
      <c r="D27" s="18">
        <f>D11-D25</f>
        <v/>
      </c>
      <c r="E27" s="18">
        <f>E11-E25</f>
        <v/>
      </c>
      <c r="F27" s="18">
        <f>F11-F25</f>
        <v/>
      </c>
      <c r="G27" s="18">
        <f>G11-G25</f>
        <v/>
      </c>
    </row>
    <row r="28">
      <c r="A28" s="24" t="inlineStr">
        <is>
          <t>Cumulative</t>
        </is>
      </c>
      <c r="B28" s="28">
        <f>B27</f>
        <v/>
      </c>
      <c r="C28" s="28">
        <f>B28+C27</f>
        <v/>
      </c>
      <c r="D28" s="28">
        <f>C28+D27</f>
        <v/>
      </c>
      <c r="E28" s="28">
        <f>D28+E27</f>
        <v/>
      </c>
      <c r="F28" s="28">
        <f>E28+F27</f>
        <v/>
      </c>
    </row>
    <row r="30">
      <c r="A30" s="20" t="inlineStr">
        <is>
          <t>B. Claims assistant — cost and value (NFR-11: must justify itself on unit economics)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5" t="inlineStr">
        <is>
          <t>Assistant queries (count)</t>
        </is>
      </c>
      <c r="B31" s="23">
        <f>Assumptions!$B$14*Assumptions!$B$60*Assumptions!$B$61</f>
        <v/>
      </c>
      <c r="C31" s="23">
        <f>Assumptions!$C$14*Assumptions!$B$60*Assumptions!$B$61</f>
        <v/>
      </c>
      <c r="D31" s="23">
        <f>Assumptions!$D$14*Assumptions!$B$60*Assumptions!$B$61</f>
        <v/>
      </c>
      <c r="E31" s="23">
        <f>Assumptions!$E$14*Assumptions!$B$60*Assumptions!$B$61</f>
        <v/>
      </c>
      <c r="F31" s="23">
        <f>Assumptions!$F$14*Assumptions!$B$60*Assumptions!$B$61</f>
        <v/>
      </c>
      <c r="G31" s="23">
        <f>SUM(B31:F31)</f>
        <v/>
      </c>
      <c r="H31" s="7" t="inlineStr">
        <is>
          <t>avg users × queries/day × days</t>
        </is>
      </c>
    </row>
    <row r="32">
      <c r="A32" s="5" t="inlineStr">
        <is>
          <t>Variable (inference, rerank, screening, eval, logging)</t>
        </is>
      </c>
      <c r="B32" s="27">
        <f>B31*AssistantUnitCost!$B$13</f>
        <v/>
      </c>
      <c r="C32" s="27">
        <f>C31*AssistantUnitCost!$B$13</f>
        <v/>
      </c>
      <c r="D32" s="27">
        <f>D31*AssistantUnitCost!$B$13</f>
        <v/>
      </c>
      <c r="E32" s="27">
        <f>E31*AssistantUnitCost!$B$13</f>
        <v/>
      </c>
      <c r="F32" s="27">
        <f>F31*AssistantUnitCost!$B$13</f>
        <v/>
      </c>
      <c r="G32" s="12">
        <f>SUM(B32:F32)</f>
        <v/>
      </c>
      <c r="H32" s="7" t="inlineStr">
        <is>
          <t>queries × variable $/query</t>
        </is>
      </c>
    </row>
    <row r="33">
      <c r="A33" s="5" t="inlineStr">
        <is>
          <t>Fixed AI infrastructure</t>
        </is>
      </c>
      <c r="B33" s="27">
        <f>AssistantUnitCost!$B$23*Assumptions!$B$15</f>
        <v/>
      </c>
      <c r="C33" s="27">
        <f>AssistantUnitCost!$B$23*Assumptions!$C$15</f>
        <v/>
      </c>
      <c r="D33" s="27">
        <f>AssistantUnitCost!$B$23*Assumptions!$D$15</f>
        <v/>
      </c>
      <c r="E33" s="27">
        <f>AssistantUnitCost!$B$23*Assumptions!$E$15</f>
        <v/>
      </c>
      <c r="F33" s="27">
        <f>AssistantUnitCost!$B$23*Assumptions!$F$15</f>
        <v/>
      </c>
      <c r="G33" s="12">
        <f>SUM(B33:F33)</f>
        <v/>
      </c>
      <c r="H33" s="7" t="inlineStr">
        <is>
          <t>AssistantUnitCost × share</t>
        </is>
      </c>
    </row>
    <row r="34">
      <c r="A34" s="5" t="inlineStr">
        <is>
          <t>Assistant run team</t>
        </is>
      </c>
      <c r="B34" s="12">
        <f>Assumptions!$B$83*Assumptions!$B$16</f>
        <v/>
      </c>
      <c r="C34" s="12">
        <f>Assumptions!$B$83*Assumptions!$C$16</f>
        <v/>
      </c>
      <c r="D34" s="12">
        <f>Assumptions!$B$83*Assumptions!$D$16</f>
        <v/>
      </c>
      <c r="E34" s="12">
        <f>Assumptions!$B$83*Assumptions!$E$16</f>
        <v/>
      </c>
      <c r="F34" s="12">
        <f>Assumptions!$B$83*Assumptions!$F$16</f>
        <v/>
      </c>
      <c r="G34" s="12">
        <f>SUM(B34:F34)</f>
        <v/>
      </c>
      <c r="H34" s="7" t="inlineStr">
        <is>
          <t>input × share</t>
        </is>
      </c>
    </row>
    <row r="35">
      <c r="A35" s="5" t="inlineStr">
        <is>
          <t>One-time program — AI track</t>
        </is>
      </c>
      <c r="B35" s="27">
        <f>OneTime!L23</f>
        <v/>
      </c>
      <c r="C35" s="27">
        <f>OneTime!M23</f>
        <v/>
      </c>
      <c r="D35" s="27">
        <f>OneTime!N23</f>
        <v/>
      </c>
      <c r="E35" s="27">
        <f>OneTime!O23</f>
        <v/>
      </c>
      <c r="F35" s="27">
        <f>OneTime!P23</f>
        <v/>
      </c>
      <c r="G35" s="12">
        <f>SUM(B35:F35)</f>
        <v/>
      </c>
      <c r="H35" s="7" t="inlineStr">
        <is>
          <t>OneTime sheet</t>
        </is>
      </c>
    </row>
    <row r="36">
      <c r="A36" s="17" t="inlineStr">
        <is>
          <t>ASSISTANT COST</t>
        </is>
      </c>
      <c r="B36" s="18">
        <f>B32+B33+B34+B35</f>
        <v/>
      </c>
      <c r="C36" s="18">
        <f>C32+C33+C34+C35</f>
        <v/>
      </c>
      <c r="D36" s="18">
        <f>D32+D33+D34+D35</f>
        <v/>
      </c>
      <c r="E36" s="18">
        <f>E32+E33+E34+E35</f>
        <v/>
      </c>
      <c r="F36" s="18">
        <f>F32+F33+F34+F35</f>
        <v/>
      </c>
      <c r="G36" s="18">
        <f>G32+G33+G34+G35</f>
        <v/>
      </c>
    </row>
    <row r="37">
      <c r="A37" s="5" t="inlineStr">
        <is>
          <t>Value: claims capacity released</t>
        </is>
      </c>
      <c r="B37" s="12">
        <f>Assumptions!$B$14*Assumptions!$B$59/Assumptions!$B$58*Assumptions!$B$87*Assumptions!$B$88*Assumptions!$B$17*Assumptions!$B$89</f>
        <v/>
      </c>
      <c r="C37" s="12">
        <f>Assumptions!$C$14*Assumptions!$B$59/Assumptions!$B$58*Assumptions!$B$87*Assumptions!$B$88*Assumptions!$C$17*Assumptions!$B$89</f>
        <v/>
      </c>
      <c r="D37" s="12">
        <f>Assumptions!$D$14*Assumptions!$B$59/Assumptions!$B$58*Assumptions!$B$87*Assumptions!$B$88*Assumptions!$D$17*Assumptions!$B$89</f>
        <v/>
      </c>
      <c r="E37" s="12">
        <f>Assumptions!$E$14*Assumptions!$B$59/Assumptions!$B$58*Assumptions!$B$87*Assumptions!$B$88*Assumptions!$E$17*Assumptions!$B$89</f>
        <v/>
      </c>
      <c r="F37" s="12">
        <f>Assumptions!$F$14*Assumptions!$B$59/Assumptions!$B$58*Assumptions!$B$87*Assumptions!$B$88*Assumptions!$F$17*Assumptions!$B$89</f>
        <v/>
      </c>
      <c r="G37" s="12">
        <f>SUM(B37:F37)</f>
        <v/>
      </c>
      <c r="H37" s="7" t="inlineStr">
        <is>
          <t>claims users × $/FTE × 30% searching × reduction × realization</t>
        </is>
      </c>
    </row>
    <row r="38">
      <c r="A38" s="17" t="inlineStr">
        <is>
          <t>ASSISTANT NET (value − cost)</t>
        </is>
      </c>
      <c r="B38" s="18">
        <f>B37-B36</f>
        <v/>
      </c>
      <c r="C38" s="18">
        <f>C37-C36</f>
        <v/>
      </c>
      <c r="D38" s="18">
        <f>D37-D36</f>
        <v/>
      </c>
      <c r="E38" s="18">
        <f>E37-E36</f>
        <v/>
      </c>
      <c r="F38" s="18">
        <f>F37-F36</f>
        <v/>
      </c>
      <c r="G38" s="18">
        <f>G37-G36</f>
        <v/>
      </c>
    </row>
    <row r="39">
      <c r="A39" s="24" t="inlineStr">
        <is>
          <t>Cumulative</t>
        </is>
      </c>
      <c r="B39" s="28">
        <f>B38</f>
        <v/>
      </c>
      <c r="C39" s="28">
        <f>B39+C38</f>
        <v/>
      </c>
      <c r="D39" s="28">
        <f>C39+D38</f>
        <v/>
      </c>
      <c r="E39" s="28">
        <f>D39+E38</f>
        <v/>
      </c>
      <c r="F39" s="28">
        <f>E39+F38</f>
        <v/>
      </c>
    </row>
    <row r="40">
      <c r="A40" s="5" t="inlineStr">
        <is>
          <t>All-in unit cost per query (infra only, NFR-11 definition)</t>
        </is>
      </c>
      <c r="B40" s="21">
        <f>IFERROR((B32+B33)/B31,0)</f>
        <v/>
      </c>
      <c r="C40" s="21">
        <f>IFERROR((C32+C33)/C31,0)</f>
        <v/>
      </c>
      <c r="D40" s="21">
        <f>IFERROR((D32+D33)/D31,0)</f>
        <v/>
      </c>
      <c r="E40" s="21">
        <f>IFERROR((E32+E33)/E31,0)</f>
        <v/>
      </c>
      <c r="F40" s="21">
        <f>IFERROR((F32+F33)/F31,0)</f>
        <v/>
      </c>
      <c r="H40" s="7" t="inlineStr">
        <is>
          <t>Above the $0.05 ceiling in Y1 by construction: fixed costs over pilot volumes</t>
        </is>
      </c>
    </row>
    <row r="42">
      <c r="A42" s="20" t="inlineStr">
        <is>
          <t>C. Program overall (A + B)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4" t="inlineStr">
        <is>
          <t>Total benefit (data-platform saving + assistant value)</t>
        </is>
      </c>
      <c r="B43" s="28">
        <f>B27+B37</f>
        <v/>
      </c>
      <c r="C43" s="28">
        <f>C27+C37</f>
        <v/>
      </c>
      <c r="D43" s="28">
        <f>D27+D37</f>
        <v/>
      </c>
      <c r="E43" s="28">
        <f>E27+E37</f>
        <v/>
      </c>
      <c r="F43" s="28">
        <f>F27+F37</f>
        <v/>
      </c>
      <c r="G43" s="28">
        <f>G27+G37</f>
        <v/>
      </c>
    </row>
    <row r="44">
      <c r="A44" s="24" t="inlineStr">
        <is>
          <t>Total assistant cost</t>
        </is>
      </c>
      <c r="B44" s="28">
        <f>B36</f>
        <v/>
      </c>
      <c r="C44" s="28">
        <f>C36</f>
        <v/>
      </c>
      <c r="D44" s="28">
        <f>D36</f>
        <v/>
      </c>
      <c r="E44" s="28">
        <f>E36</f>
        <v/>
      </c>
      <c r="F44" s="28">
        <f>F36</f>
        <v/>
      </c>
      <c r="G44" s="28">
        <f>G36</f>
        <v/>
      </c>
    </row>
    <row r="45">
      <c r="A45" s="17" t="inlineStr">
        <is>
          <t>PROGRAM NET</t>
        </is>
      </c>
      <c r="B45" s="18">
        <f>B43-B44</f>
        <v/>
      </c>
      <c r="C45" s="18">
        <f>C43-C44</f>
        <v/>
      </c>
      <c r="D45" s="18">
        <f>D43-D44</f>
        <v/>
      </c>
      <c r="E45" s="18">
        <f>E43-E44</f>
        <v/>
      </c>
      <c r="F45" s="18">
        <f>F43-F44</f>
        <v/>
      </c>
      <c r="G45" s="18">
        <f>G43-G44</f>
        <v/>
      </c>
    </row>
    <row r="46">
      <c r="A46" s="24" t="inlineStr">
        <is>
          <t>Cumulative</t>
        </is>
      </c>
      <c r="B46" s="28">
        <f>B45</f>
        <v/>
      </c>
      <c r="C46" s="28">
        <f>B46+C45</f>
        <v/>
      </c>
      <c r="D46" s="28">
        <f>C46+D45</f>
        <v/>
      </c>
      <c r="E46" s="28">
        <f>D46+E45</f>
        <v/>
      </c>
      <c r="F46" s="28">
        <f>E46+F45</f>
        <v/>
      </c>
    </row>
    <row r="48">
      <c r="A48" s="20" t="inlineStr">
        <is>
          <t>Summary metrics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5" t="inlineStr">
        <is>
          <t>Steady-state data-platform run-rate, Y3 (GCP services + storage)</t>
        </is>
      </c>
      <c r="D49" s="18">
        <f>D20+D21</f>
        <v/>
      </c>
    </row>
    <row r="50">
      <c r="A50" s="5" t="inlineStr">
        <is>
          <t xml:space="preserve">  as a share of the $6.8M baseline</t>
        </is>
      </c>
      <c r="D50" s="29">
        <f>IFERROR(D20/Assumptions!$B$28+D21/Assumptions!$B$28,0)</f>
        <v/>
      </c>
    </row>
    <row r="51">
      <c r="A51" s="5" t="inlineStr">
        <is>
          <t>Steady-state data-platform saving, Y3</t>
        </is>
      </c>
      <c r="D51" s="18">
        <f>D27</f>
        <v/>
      </c>
    </row>
    <row r="52">
      <c r="A52" s="5" t="inlineStr">
        <is>
          <t>Data-platform payback year</t>
        </is>
      </c>
      <c r="D52" s="17">
        <f>IF(B28&gt;=0,"Y1",IF(C28&gt;=0,"Y2",IF(D28&gt;=0,"Y3",IF(E28&gt;=0,"Y4",IF(F28&gt;=0,"Y5","beyond Y5")))))</f>
        <v/>
      </c>
    </row>
    <row r="53">
      <c r="A53" s="5" t="inlineStr">
        <is>
          <t>Bridge-year Teradata payment (licence + hardware support)</t>
        </is>
      </c>
      <c r="D53" s="18">
        <f>SUM(B15:F15)+SUM(B16:F16)</f>
        <v/>
      </c>
    </row>
    <row r="54">
      <c r="A54" s="5" t="inlineStr">
        <is>
          <t>Assistant steady-state value ÷ steady-state cost (Y3)</t>
        </is>
      </c>
      <c r="D54" s="30">
        <f>IFERROR(D37/D36,0)</f>
        <v/>
      </c>
    </row>
    <row r="55">
      <c r="A55" s="5" t="inlineStr">
        <is>
          <t>Program payback year (A + B)</t>
        </is>
      </c>
      <c r="D55" s="17">
        <f>IF(B46&gt;=0,"Y1",IF(C46&gt;=0,"Y2",IF(D46&gt;=0,"Y3",IF(E46&gt;=0,"Y4",IF(F46&gt;=0,"Y5","beyond Y5")))))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2" customWidth="1" min="3" max="3"/>
    <col width="60" customWidth="1" min="4" max="4"/>
  </cols>
  <sheetData>
    <row r="1">
      <c r="A1" s="1" t="inlineStr">
        <is>
          <t>NFR-11 Tests, Gate A2 Check and Decision Robustness</t>
        </is>
      </c>
    </row>
    <row r="3">
      <c r="A3" s="4" t="inlineStr">
        <is>
          <t>Test</t>
        </is>
      </c>
      <c r="B3" s="4" t="inlineStr">
        <is>
          <t>Value</t>
        </is>
      </c>
      <c r="C3" s="4" t="inlineStr">
        <is>
          <t>Result</t>
        </is>
      </c>
      <c r="D3" s="4" t="inlineStr">
        <is>
          <t>Basis</t>
        </is>
      </c>
    </row>
    <row r="4">
      <c r="A4" s="20" t="inlineStr">
        <is>
          <t>1. Data-platform run-rate ≤ $6.8M legacy baseline (excluding the AI capability)</t>
        </is>
      </c>
      <c r="B4" s="20" t="n"/>
      <c r="C4" s="20" t="n"/>
      <c r="D4" s="20" t="n"/>
    </row>
    <row r="5">
      <c r="A5" s="5" t="inlineStr">
        <is>
          <t>Legacy baseline</t>
        </is>
      </c>
      <c r="B5" s="12">
        <f>Assumptions!$B$28</f>
        <v/>
      </c>
      <c r="C5" s="24" t="n"/>
      <c r="D5" s="7" t="inlineStr">
        <is>
          <t>current-state.md §6</t>
        </is>
      </c>
    </row>
    <row r="6">
      <c r="A6" s="5" t="inlineStr">
        <is>
          <t>GCP steady-state run-rate (Y3)</t>
        </is>
      </c>
      <c r="B6" s="12">
        <f>FiveYearTCO!$D$49</f>
        <v/>
      </c>
      <c r="C6" s="17">
        <f>IF(B6&lt;=B5,"PASS","FAIL")</f>
        <v/>
      </c>
      <c r="D6" s="7" t="inlineStr">
        <is>
          <t>FiveYearTCO summary</t>
        </is>
      </c>
    </row>
    <row r="7">
      <c r="A7" s="5" t="inlineStr">
        <is>
          <t>Headroom below baseline</t>
        </is>
      </c>
      <c r="B7" s="12">
        <f>B5-B6</f>
        <v/>
      </c>
      <c r="C7" s="24" t="n"/>
      <c r="D7" s="7" t="inlineStr"/>
    </row>
    <row r="8">
      <c r="A8" s="5" t="inlineStr">
        <is>
          <t>Extra average BigQuery slots before the baseline is breached</t>
        </is>
      </c>
      <c r="B8" s="23">
        <f>IFERROR(B7/((1+Assumptions!$B$53)*Assumptions!$B$36*8760),0)</f>
        <v/>
      </c>
      <c r="C8" s="24" t="n"/>
      <c r="D8" s="7" t="inlineStr">
        <is>
          <t>headroom ÷ (PAYG $/slot-hr × 8,760 × (1 + support))</t>
        </is>
      </c>
    </row>
    <row r="9">
      <c r="A9" s="5" t="inlineStr">
        <is>
          <t>Run-rate multiple that would breach the baseline</t>
        </is>
      </c>
      <c r="B9" s="31">
        <f>IFERROR(B5/B6,0)</f>
        <v/>
      </c>
      <c r="C9" s="24" t="n"/>
      <c r="D9" s="7" t="inlineStr">
        <is>
          <t>baseline ÷ run-rate</t>
        </is>
      </c>
    </row>
    <row r="11">
      <c r="A11" s="20" t="inlineStr">
        <is>
          <t>2. Assistant unit cost ≤ $0.05 per query (all-in = retrieval + inference + logging)</t>
        </is>
      </c>
      <c r="B11" s="20" t="n"/>
      <c r="C11" s="20" t="n"/>
      <c r="D11" s="20" t="n"/>
    </row>
    <row r="12">
      <c r="A12" s="5" t="inlineStr">
        <is>
          <t>Variable cost per query</t>
        </is>
      </c>
      <c r="B12" s="21">
        <f>AssistantUnitCost!$B$13</f>
        <v/>
      </c>
      <c r="C12" s="24" t="n"/>
      <c r="D12" s="7" t="inlineStr">
        <is>
          <t>AssistantUnitCost</t>
        </is>
      </c>
    </row>
    <row r="13">
      <c r="A13" s="5" t="inlineStr">
        <is>
          <t>All-in unit cost at full scale</t>
        </is>
      </c>
      <c r="B13" s="21">
        <f>AssistantUnitCost!$B$27</f>
        <v/>
      </c>
      <c r="C13" s="17">
        <f>IF(B13&lt;=Assumptions!$B$92,"PASS","FAIL")</f>
        <v/>
      </c>
      <c r="D13" s="7" t="inlineStr">
        <is>
          <t>AssistantUnitCost</t>
        </is>
      </c>
    </row>
    <row r="14">
      <c r="A14" s="5" t="inlineStr">
        <is>
          <t>Break-even queries per year for the ceiling</t>
        </is>
      </c>
      <c r="B14" s="23">
        <f>IFERROR(AssistantUnitCost!$B$23/(Assumptions!$B$92-B12),0)</f>
        <v/>
      </c>
      <c r="C14" s="24" t="n"/>
      <c r="D14" s="7" t="inlineStr">
        <is>
          <t>fixed ÷ (ceiling − variable)</t>
        </is>
      </c>
    </row>
    <row r="15">
      <c r="A15" s="5" t="inlineStr">
        <is>
          <t>Break-even active users</t>
        </is>
      </c>
      <c r="B15" s="23">
        <f>IFERROR(B14/(Assumptions!$B$60*Assumptions!$B$61),0)</f>
        <v/>
      </c>
      <c r="C15" s="24" t="n"/>
      <c r="D15" s="7" t="inlineStr">
        <is>
          <t>queries ÷ (queries/day × days)</t>
        </is>
      </c>
    </row>
    <row r="16">
      <c r="A16" s="5" t="inlineStr">
        <is>
          <t xml:space="preserve">  as a share of the 4,400-user population</t>
        </is>
      </c>
      <c r="B16" s="19">
        <f>IFERROR(B15/Assumptions!$B$58,0)</f>
        <v/>
      </c>
      <c r="C16" s="24" t="n"/>
      <c r="D16" s="7" t="inlineStr"/>
    </row>
    <row r="17">
      <c r="A17" s="5" t="inlineStr">
        <is>
          <t>Fully loaded unit cost incl. run team</t>
        </is>
      </c>
      <c r="B17" s="21">
        <f>AssistantUnitCost!$B$29</f>
        <v/>
      </c>
      <c r="C17" s="17">
        <f>IF(B17&lt;=Assumptions!$B$92,"under ceiling","over ceiling")</f>
        <v/>
      </c>
      <c r="D17" s="7" t="inlineStr">
        <is>
          <t>Outside NFR-11's definition; shown for honesty</t>
        </is>
      </c>
    </row>
    <row r="19">
      <c r="A19" s="20" t="inlineStr">
        <is>
          <t>3. Gate A2 as written in ADR-029 (cost per query ≤ $0.05, measured in the pilot)</t>
        </is>
      </c>
      <c r="B19" s="20" t="n"/>
      <c r="C19" s="20" t="n"/>
      <c r="D19" s="20" t="n"/>
    </row>
    <row r="20">
      <c r="A20" s="5" t="inlineStr">
        <is>
          <t>Pilot queries per year (300 users)</t>
        </is>
      </c>
      <c r="B20" s="23">
        <f>Assumptions!$B$84*Assumptions!$B$60*Assumptions!$B$61</f>
        <v/>
      </c>
      <c r="C20" s="24" t="n"/>
      <c r="D20" s="7" t="inlineStr"/>
    </row>
    <row r="21">
      <c r="A21" s="5" t="inlineStr">
        <is>
          <t>All-in unit cost during the pilot</t>
        </is>
      </c>
      <c r="B21" s="21">
        <f>IFERROR(B12+AssistantUnitCost!$B$23*Assumptions!$B$15/B20,0)</f>
        <v/>
      </c>
      <c r="C21" s="17">
        <f>IF(B21&lt;=Assumptions!$B$92,"PASS","FAILS BY CONSTRUCTION")</f>
        <v/>
      </c>
      <c r="D21" s="7" t="inlineStr">
        <is>
          <t>variable + pilot-sized fixed ÷ pilot queries</t>
        </is>
      </c>
    </row>
    <row r="22">
      <c r="A22" s="5" t="inlineStr">
        <is>
          <t>Amended A2: variable cost per query ≤ $0.02 (measured)</t>
        </is>
      </c>
      <c r="B22" s="21">
        <f>B12</f>
        <v/>
      </c>
      <c r="C22" s="17">
        <f>IF(B22&lt;=Assumptions!$B$93,"PASS","FAIL")</f>
        <v/>
      </c>
      <c r="D22" s="7" t="inlineStr">
        <is>
          <t>Step 12 amendment (ADR-029 addendum)</t>
        </is>
      </c>
    </row>
    <row r="23">
      <c r="A23" s="5" t="inlineStr">
        <is>
          <t>Amended A2: modeled all-in at scale ≤ $0.05 (from measured tokens)</t>
        </is>
      </c>
      <c r="B23" s="21">
        <f>B13</f>
        <v/>
      </c>
      <c r="C23" s="17">
        <f>IF(B23&lt;=Assumptions!$B$92,"PASS","FAIL")</f>
        <v/>
      </c>
      <c r="D23" s="7" t="inlineStr"/>
    </row>
    <row r="25">
      <c r="A25" s="20" t="inlineStr">
        <is>
          <t>4. Assistant value robustness</t>
        </is>
      </c>
      <c r="B25" s="20" t="n"/>
      <c r="C25" s="20" t="n"/>
      <c r="D25" s="20" t="n"/>
    </row>
    <row r="26">
      <c r="A26" s="5" t="inlineStr">
        <is>
          <t>Break-even search-time reduction (steady state)</t>
        </is>
      </c>
      <c r="B26" s="19">
        <f>IFERROR((FiveYearTCO!D36)/(Assumptions!$B$59*Assumptions!$B$87*Assumptions!$B$88*Assumptions!$B$89),0)</f>
        <v/>
      </c>
      <c r="C26" s="24" t="n"/>
      <c r="D26" s="7" t="inlineStr">
        <is>
          <t>Y3 assistant cost ÷ (claims FTE × $ × 30% × realization)</t>
        </is>
      </c>
    </row>
    <row r="27">
      <c r="A27" s="5" t="inlineStr">
        <is>
          <t xml:space="preserve">  as a share of an adjuster's working day</t>
        </is>
      </c>
      <c r="B27" s="19">
        <f>B26*Assumptions!$B$88</f>
        <v/>
      </c>
      <c r="C27" s="24" t="n"/>
      <c r="D27" s="7" t="inlineStr"/>
    </row>
    <row r="29">
      <c r="A29" s="20" t="inlineStr">
        <is>
          <t>5. Can cost evidence alone flip ADR-027?</t>
        </is>
      </c>
      <c r="B29" s="20" t="n"/>
      <c r="C29" s="20" t="n"/>
      <c r="D29" s="20" t="n"/>
    </row>
    <row r="30">
      <c r="A30" s="5" t="inlineStr">
        <is>
          <t>GCP lead over Azure (weighted)</t>
        </is>
      </c>
      <c r="B30" s="32">
        <f>Assumptions!$B$94-Assumptions!$B$95</f>
        <v/>
      </c>
      <c r="C30" s="24" t="n"/>
      <c r="D30" s="7" t="inlineStr">
        <is>
          <t>decision-matrix.md</t>
        </is>
      </c>
    </row>
    <row r="31">
      <c r="A31" s="5" t="inlineStr">
        <is>
          <t>GCP cost-score drop needed to lose the lead</t>
        </is>
      </c>
      <c r="B31" s="32">
        <f>IFERROR(B30/Assumptions!$B$96,0)</f>
        <v/>
      </c>
      <c r="C31" s="17">
        <f>IF(B31&gt;1,"No — needs &gt;1 point","Possible")</f>
        <v/>
      </c>
      <c r="D31" s="7" t="inlineStr">
        <is>
          <t>lead ÷ cost weight; GCP scored 3.5 on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2026-09-26T02:51:53Z</dcterms:created>
  <dcterms:modified xmlns:dcterms="http://purl.org/dc/terms/" xmlns:xsi="http://www.w3.org/2001/XMLSchema-instance" xsi:type="dcterms:W3CDTF">2026-09-26T02:51:54Z</dcterms:modified>
</cp:coreProperties>
</file>