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AzureRunRate" sheetId="2" state="visible" r:id="rId4"/>
    <sheet name="OnPremBaseline" sheetId="3" state="visible" r:id="rId5"/>
    <sheet name="MigrationYr1" sheetId="4" state="visible" r:id="rId6"/>
    <sheet name="TCO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<sst xmlns="http://schemas.openxmlformats.org/spreadsheetml/2006/main" count="190" uniqueCount="155">
  <si>
    <t xml:space="preserve">Meridian Health Network — Cost Model Assumptions</t>
  </si>
  <si>
    <t xml:space="preserve">All figures are illustrative, order-of-magnitude Azure retail (Pay-As-You-Go, East US) list-price approximations for 3–5 year TCO comparison purposes only — not a vendor quote, EA/MCA negotiated rate, or budget-approval figure. Blue cells are editable inputs.</t>
  </si>
  <si>
    <t xml:space="preserve">General</t>
  </si>
  <si>
    <t xml:space="preserve">Workforce headcount</t>
  </si>
  <si>
    <t xml:space="preserve">current-state.md §1</t>
  </si>
  <si>
    <t xml:space="preserve">Active patients (last 24 months)</t>
  </si>
  <si>
    <t xml:space="preserve">Sites</t>
  </si>
  <si>
    <t xml:space="preserve">Hours per year</t>
  </si>
  <si>
    <t xml:space="preserve">24 x 365</t>
  </si>
  <si>
    <t xml:space="preserve">Reserved Capacity / Savings Plan discount (Year 2+, ADR-038)</t>
  </si>
  <si>
    <t xml:space="preserve">Illustrative 1-yr Reserved Instance / Savings Plan discount range on reservable compute/DB lines only</t>
  </si>
  <si>
    <t xml:space="preserve">On-Prem Baseline ('Do-Nothing') Inputs</t>
  </si>
  <si>
    <t xml:space="preserve">Capital refresh cost — SAN + 6 hosts + networking (one-time)</t>
  </si>
  <si>
    <t xml:space="preserve">current-state.md §3 (91% SAN util, 6.5yr-avg host fleet); illustrative</t>
  </si>
  <si>
    <t xml:space="preserve">Capital refresh amortization period (years)</t>
  </si>
  <si>
    <t xml:space="preserve">Straight-line, for TCO comparison only</t>
  </si>
  <si>
    <t xml:space="preserve">Backup / tape-courier / after-hours MSP NOC, annual</t>
  </si>
  <si>
    <t xml:space="preserve">current-state.md §3/§1; illustrative</t>
  </si>
  <si>
    <t xml:space="preserve">MPLS WAN to 46 sites, annual</t>
  </si>
  <si>
    <t xml:space="preserve">current-state.md §4; illustrative ~$450/site/month</t>
  </si>
  <si>
    <t xml:space="preserve">Cyber-insurance baseline annual premium</t>
  </si>
  <si>
    <t xml:space="preserve">problem-statement.md §4; illustrative</t>
  </si>
  <si>
    <t xml:space="preserve">Cyber-insurance penalty multiplier if MFA/backup/DR conditions unmet</t>
  </si>
  <si>
    <t xml:space="preserve">problem-statement.md §4: "up to 3x current cost"</t>
  </si>
  <si>
    <t xml:space="preserve">Migration Program Inputs (migration-roadmap.md, ADR-035/036/037)</t>
  </si>
  <si>
    <t xml:space="preserve">Program duration, Wave 0 through Wave 10 (months)</t>
  </si>
  <si>
    <t xml:space="preserve">migration-roadmap.md diagram</t>
  </si>
  <si>
    <t xml:space="preserve">Azure run-rate ramp — average % of steady-state during Year 1</t>
  </si>
  <si>
    <t xml:space="preserve">Illustrative wave-weighted average; most sites cut over in the back half of the program</t>
  </si>
  <si>
    <t xml:space="preserve">Legacy on-prem opex continuation during Year 1 (% of full-year cost)</t>
  </si>
  <si>
    <t xml:space="preserve">ADR-036: legacy farm stays fully operational as rollback fallback until Wave 10</t>
  </si>
  <si>
    <t xml:space="preserve">Azure Target-State Run-Rate — Steady State (Post Wave 10, Both Regions Where Applicable)</t>
  </si>
  <si>
    <t xml:space="preserve">Service / Line Item</t>
  </si>
  <si>
    <t xml:space="preserve">Configuration</t>
  </si>
  <si>
    <t xml:space="preserve">Qty</t>
  </si>
  <si>
    <t xml:space="preserve">Unit Rate ($)</t>
  </si>
  <si>
    <t xml:space="preserve">Billing Basis</t>
  </si>
  <si>
    <t xml:space="preserve">Annual Cost</t>
  </si>
  <si>
    <t xml:space="preserve">Reservable?</t>
  </si>
  <si>
    <t xml:space="preserve">Source / Note</t>
  </si>
  <si>
    <t xml:space="preserve">CareLink PM Citrix VDA compute</t>
  </si>
  <si>
    <t xml:space="preserve">Standard_D8s_v5, Windows Datacenter (ADR-005)</t>
  </si>
  <si>
    <t xml:space="preserve">Hourly</t>
  </si>
  <si>
    <t xml:space="preserve">Y</t>
  </si>
  <si>
    <t xml:space="preserve">ADR-005 sizing (day-1 catalog 45, autoscale floor ~7); 20 = illustrative average running fleet across business/off-hours</t>
  </si>
  <si>
    <t xml:space="preserve">SQL Managed Instance — primary (East US)</t>
  </si>
  <si>
    <t xml:space="preserve">Business Critical, 8 vCore, Zone Redundant Gen5 (ADR-006)</t>
  </si>
  <si>
    <t xml:space="preserve">ADR-006 sizing; rate = illustrative Business Critical Zone-Redundant vCore-hr incl. storage</t>
  </si>
  <si>
    <t xml:space="preserve">SQL Managed Instance — DR (West US)</t>
  </si>
  <si>
    <t xml:space="preserve">Matching Business Critical instance, auto-failover group (ADR-006)</t>
  </si>
  <si>
    <t xml:space="preserve">ADR-004/006: warm standby must match primary, not a smaller stand-in</t>
  </si>
  <si>
    <t xml:space="preserve">App Service Premium v3 (Portal)</t>
  </si>
  <si>
    <t xml:space="preserve">P1v3 Linux, autoscale 3-10 (ADR-010)</t>
  </si>
  <si>
    <t xml:space="preserve">ADR-010 sizing; 5 = illustrative average across the 3-10 autoscale range</t>
  </si>
  <si>
    <t xml:space="preserve">Azure Functions Premium (LinkEngine)</t>
  </si>
  <si>
    <t xml:space="preserve">EP1 x4 apps, shared plan, 1 Always Ready each (ADR-008)</t>
  </si>
  <si>
    <t xml:space="preserve">ADR-008 sizing; excludes minor consumption-based burst execution</t>
  </si>
  <si>
    <t xml:space="preserve">Service Bus Premium — primary</t>
  </si>
  <si>
    <t xml:space="preserve">1 Messaging Unit (ADR-011)</t>
  </si>
  <si>
    <t xml:space="preserve">Monthly</t>
  </si>
  <si>
    <t xml:space="preserve">N</t>
  </si>
  <si>
    <t xml:space="preserve">ADR-011 sizing</t>
  </si>
  <si>
    <t xml:space="preserve">Service Bus Premium — Geo-DR secondary</t>
  </si>
  <si>
    <t xml:space="preserve">1 Messaging Unit, West US namespace (ADR-011)</t>
  </si>
  <si>
    <t xml:space="preserve">ADR-011: Geo-DR secondary namespace billed at full rate (topology-only replication)</t>
  </si>
  <si>
    <t xml:space="preserve">API Management Premium — primary</t>
  </si>
  <si>
    <t xml:space="preserve">1 scale unit (Section 1 service mapping)</t>
  </si>
  <si>
    <t xml:space="preserve">Premium tier required for VNet integration + Strangler Fig ingress</t>
  </si>
  <si>
    <t xml:space="preserve">API Management Premium — DR scale unit</t>
  </si>
  <si>
    <t xml:space="preserve">1 additional scale unit, West US</t>
  </si>
  <si>
    <t xml:space="preserve">Multi-region APIM deployment for DR</t>
  </si>
  <si>
    <t xml:space="preserve">Azure Front Door Premium</t>
  </si>
  <si>
    <t xml:space="preserve">Base + WAF + data transfer (ADR-010)</t>
  </si>
  <si>
    <t xml:space="preserve">Illustrative base + usage blend</t>
  </si>
  <si>
    <t xml:space="preserve">Azure Site Recovery</t>
  </si>
  <si>
    <t xml:space="preserve">Golden-image / management-tier protected instances (ADR-004/§8)</t>
  </si>
  <si>
    <t xml:space="preserve">VDA session hosts are ephemeral/non-persistent (ADR-005) and rebuilt from image on failover, not individually ASR-protected</t>
  </si>
  <si>
    <t xml:space="preserve">Blob/Backup storage (GRS + immutable, both regions)</t>
  </si>
  <si>
    <t xml:space="preserve">~200 TB blended hot/cool/archive tiers</t>
  </si>
  <si>
    <t xml:space="preserve">Monthly-per-GB</t>
  </si>
  <si>
    <t xml:space="preserve">Includes ADR-037 Wave-0 immutable retention-lock backup target</t>
  </si>
  <si>
    <t xml:space="preserve">Microsoft Sentinel (SIEM)</t>
  </si>
  <si>
    <t xml:space="preserve">~50 GB/day ingestion, combined Sentinel + Log Analytics</t>
  </si>
  <si>
    <t xml:space="preserve">Daily-per-GB</t>
  </si>
  <si>
    <t xml:space="preserve">Illustrative commit-tier blended rate</t>
  </si>
  <si>
    <t xml:space="preserve">Microsoft Entra ID P2 (workforce Conditional Access/MFA)</t>
  </si>
  <si>
    <t xml:space="preserve">Per-user/month, all workforce</t>
  </si>
  <si>
    <t xml:space="preserve">Monthly-per-user</t>
  </si>
  <si>
    <t xml:space="preserve">ADR-009/ADR-037; LARGEST single line — verify against any existing M365/EMS E5 licensing before budgeting (not resolved here)</t>
  </si>
  <si>
    <t xml:space="preserve">Microsoft Entra External ID (patient CIAM)</t>
  </si>
  <si>
    <t xml:space="preserve">Monthly Active Users beyond free tier</t>
  </si>
  <si>
    <t xml:space="preserve">Monthly-per-MAU</t>
  </si>
  <si>
    <t xml:space="preserve">ADR-009; ~30% of active patients assumed to engage portal monthly, less a 50,000-MAU free tier</t>
  </si>
  <si>
    <t xml:space="preserve">Retained hybrid connectivity (post-decommission)</t>
  </si>
  <si>
    <t xml:space="preserve">Modest ExpressRoute circuit for any remaining HQ-only, out-of-scope systems</t>
  </si>
  <si>
    <t xml:space="preserve">Temporary migration-window circuit (ADR-035) is separate — see MigrationYr1</t>
  </si>
  <si>
    <t xml:space="preserve">Hub networking — Azure Firewall + Bastion + DNS (both regions)</t>
  </si>
  <si>
    <t xml:space="preserve">Standard tier, primary + DR hub</t>
  </si>
  <si>
    <t xml:space="preserve">azure-implementation.md hub-and-spoke; illustrative blended both-region rate</t>
  </si>
  <si>
    <t xml:space="preserve">Miscellaneous / contingency</t>
  </si>
  <si>
    <t xml:space="preserve">Key Vault transactions, DNS zones, minor services</t>
  </si>
  <si>
    <t xml:space="preserve">Buffer line, not itemized</t>
  </si>
  <si>
    <t xml:space="preserve">Total — Azure Steady-State Annual Run-Rate</t>
  </si>
  <si>
    <t xml:space="preserve">  of which: Reservable (RI/Savings-Plan-eligible) compute &amp; DB lines</t>
  </si>
  <si>
    <t xml:space="preserve">On-Prem Baseline — 'Do Nothing' / Stay-and-Refresh Scenario (Annual, Flat Across Years)</t>
  </si>
  <si>
    <t xml:space="preserve">Cost Component</t>
  </si>
  <si>
    <t xml:space="preserve">Capital refresh, amortized (SAN + hosts + networking)</t>
  </si>
  <si>
    <t xml:space="preserve">requirements.md: capital refresh 'due in the current on-prem model regardless'</t>
  </si>
  <si>
    <t xml:space="preserve">Backup / tape-courier / after-hours MSP NOC</t>
  </si>
  <si>
    <t xml:space="preserve">current-state.md §3</t>
  </si>
  <si>
    <t xml:space="preserve">MPLS WAN to 46 sites</t>
  </si>
  <si>
    <t xml:space="preserve">current-state.md §4</t>
  </si>
  <si>
    <t xml:space="preserve">Cyber-insurance premium (penalty applies — current architecture cannot meet MFA/immutable-backup/tested-DR conditions)</t>
  </si>
  <si>
    <t xml:space="preserve">problem-statement.md §4</t>
  </si>
  <si>
    <t xml:space="preserve">Total — On-Prem Baseline, Annual</t>
  </si>
  <si>
    <t xml:space="preserve">Note: staffing (16-person team) is unchanged between scenarios and excluded here as a wash — see cost-and-risk-analysis.md §1.</t>
  </si>
  <si>
    <t xml:space="preserve">Migration &amp; Transition Costs — Year 1 Only (Wave 0 through Wave 10)</t>
  </si>
  <si>
    <t xml:space="preserve">Cost</t>
  </si>
  <si>
    <t xml:space="preserve">One-time transition costs</t>
  </si>
  <si>
    <t xml:space="preserve">Landing zone build &amp; IaC development (Wave 0)</t>
  </si>
  <si>
    <t xml:space="preserve">Bicep modules, network, identity foundation — azure-implementation.md §14 deferred item, built here</t>
  </si>
  <si>
    <t xml:space="preserve">Migration execution labor, all waves (~$42K/wave average x 10 waves)</t>
  </si>
  <si>
    <t xml:space="preserve">migration-roadmap.md wave count; per-wave cutover engineering, testing, smoke-test gates</t>
  </si>
  <si>
    <t xml:space="preserve">Temporary hybrid ExpressRoute/VPN circuit (13 months)</t>
  </si>
  <si>
    <t xml:space="preserve">ADR-035's named networking dependency between Wave 1 and the last compute wave</t>
  </si>
  <si>
    <t xml:space="preserve">Citrix Cloud incremental licensing, dual-farm overlap period</t>
  </si>
  <si>
    <t xml:space="preserve">Both legacy and Azure Citrix fleets run simultaneously per ADR-036</t>
  </si>
  <si>
    <t xml:space="preserve">Clinician / front-desk training and change management</t>
  </si>
  <si>
    <t xml:space="preserve">migration-roadmap.md §6, explicitly deferred workstream, budgeted here</t>
  </si>
  <si>
    <t xml:space="preserve">Subtotal — one-time</t>
  </si>
  <si>
    <t xml:space="preserve">Ramped / continuing costs during Year 1</t>
  </si>
  <si>
    <t xml:space="preserve">Azure run-rate, ramped (wave-weighted average of steady state)</t>
  </si>
  <si>
    <t xml:space="preserve">Most sites cut over in the back half of the program (migration-roadmap.md wave timeline)</t>
  </si>
  <si>
    <t xml:space="preserve">Legacy on-prem opex continuation (backup/MSP + MPLS, full year — ADR-036)</t>
  </si>
  <si>
    <t xml:space="preserve">Capital refresh — AVOIDED (migrating replaces the need for it entirely, not just defers it)</t>
  </si>
  <si>
    <t xml:space="preserve">Real business-case point: this is $0, not deferred spend — see cost-and-risk-analysis.md</t>
  </si>
  <si>
    <t xml:space="preserve">Cyber-insurance premium, Year 1 (baseline rate preserved)</t>
  </si>
  <si>
    <t xml:space="preserve">ADR-037: MFA/encryption/immutable-backup quick-wins land in Wave 0, weeks into the program — no penalty</t>
  </si>
  <si>
    <t xml:space="preserve">Subtotal — ramped/continuing</t>
  </si>
  <si>
    <t xml:space="preserve">Total — Azure-Track Cost, Year 1</t>
  </si>
  <si>
    <t xml:space="preserve">5-Year (+2 Illustrative) TCO Comparison — Do-Nothing Baseline vs. Azure Migration</t>
  </si>
  <si>
    <t xml:space="preserve">Years 6-7 are shown only to illustrate the breakeven trend beyond the requested 3-5 year window — see cost-and-risk-analysis.md §3 for the honest read on what this comparison does and doesn't show.</t>
  </si>
  <si>
    <t xml:space="preserve">Scenario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</si>
  <si>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</si>
  <si>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</si>
  <si>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</si>
  <si>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</si>
  <si>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</si>
  <si>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</si>
  <si>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</si>
  <si>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Do-Nothing Baseline (annual)</t>
  </si>
  <si>
    <t xml:space="preserve">Azure Migration (annual)</t>
  </si>
  <si>
    <t xml:space="preserve">Cumulative Do-Nothing</t>
  </si>
  <si>
    <t xml:space="preserve">Cumulative Azure Migration</t>
  </si>
  <si>
    <t xml:space="preserve">Cumulative Delta (Azure minus Do-Nothing)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</si>
</sst>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$#,##0;&quot;($&quot;#,##0\);\-"/>
    <numFmt numFmtId="167" formatCode="\$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Cost — Do-Nothing vs. Azure Migration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"Do-Nothing Baseline"</c:f>
              <c:strCache>
                <c:ptCount val="1"/>
                <c:pt idx="0">
                  <c:v>Do-Nothing Baseline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TCOSummary!$B$4:$H$4</c:f>
              <c:multiLvlStrCache>
                <c:ptCount val="1"/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TCOSummary!$B$8:$H$8</c:f>
              <c:numCache>
                <c:formatCode>\$#,##0;"($"#,##0\);\-</c:formatCode>
                <c:ptCount val="7"/>
                <c:pt idx="0">
                  <c:v>1070400</c:v>
                </c:pt>
                <c:pt idx="1">
                  <c:v>2140800</c:v>
                </c:pt>
                <c:pt idx="2">
                  <c:v>3211200</c:v>
                </c:pt>
                <c:pt idx="3">
                  <c:v>4281600</c:v>
                </c:pt>
                <c:pt idx="4">
                  <c:v>5352000</c:v>
                </c:pt>
                <c:pt idx="5">
                  <c:v>6422400</c:v>
                </c:pt>
                <c:pt idx="6">
                  <c:v>7492800</c:v>
                </c:pt>
              </c:numCache>
            </c:numRef>
          </c:val>
        </c:ser>
        <c:ser>
          <c:idx val="1"/>
          <c:order val="1"/>
          <c:tx>
            <c:strRef>
              <c:f>"Azure Migration"</c:f>
              <c:strCache>
                <c:ptCount val="1"/>
                <c:pt idx="0">
                  <c:v>Azure Migration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TCOSummary!$B$4:$H$4</c:f>
              <c:multiLvlStrCache>
                <c:ptCount val="1"/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TCOSummary!$B$9:$H$9</c:f>
              <c:numCache>
                <c:formatCode>\$#,##0;"($"#,##0\);\-</c:formatCode>
                <c:ptCount val="7"/>
                <c:pt idx="0">
                  <c:v>1824924.208</c:v>
                </c:pt>
                <c:pt idx="1">
                  <c:v>2760739.348</c:v>
                </c:pt>
                <c:pt idx="2">
                  <c:v>3696554.488</c:v>
                </c:pt>
                <c:pt idx="3">
                  <c:v>4632369.628</c:v>
                </c:pt>
                <c:pt idx="4">
                  <c:v>5568184.768</c:v>
                </c:pt>
                <c:pt idx="5">
                  <c:v>6503999.908</c:v>
                </c:pt>
                <c:pt idx="6">
                  <c:v>7439815.048</c:v>
                </c:pt>
              </c:numCache>
            </c:numRef>
          </c:val>
        </c:ser>
        <c:gapWidth val="150"/>
        <c:overlap val="0"/>
        <c:axId val="50271539"/>
        <c:axId val="56297525"/>
      </c:barChart>
      <c:catAx>
        <c:axId val="502715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297525"/>
        <c:crosses val="autoZero"/>
        <c:auto val="1"/>
        <c:lblAlgn val="ctr"/>
        <c:lblOffset val="100"/>
        <c:noMultiLvlLbl val="0"/>
      </c:catAx>
      <c:valAx>
        <c:axId val="562975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2715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160560</xdr:rowOff>
    </xdr:from>
    <xdr:to>
      <xdr:col>7</xdr:col>
      <xdr:colOff>307080</xdr:colOff>
      <xdr:row>28</xdr:row>
      <xdr:rowOff>161640</xdr:rowOff>
    </xdr:to>
    <xdr:graphicFrame>
      <xdr:nvGraphicFramePr>
        <xdr:cNvPr id="0" name="Chart 1"/>
        <xdr:cNvGraphicFramePr/>
      </xdr:nvGraphicFramePr>
      <xdr:xfrm>
        <a:off x="0" y="24192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4300</v>
      </c>
      <c r="C5" s="6" t="s">
        <v>4</v>
      </c>
    </row>
    <row r="6" customFormat="false" ht="15" hidden="false" customHeight="false" outlineLevel="0" collapsed="false">
      <c r="A6" s="4" t="s">
        <v>5</v>
      </c>
      <c r="B6" s="5" t="n">
        <v>410000</v>
      </c>
      <c r="C6" s="6" t="s">
        <v>4</v>
      </c>
    </row>
    <row r="7" customFormat="false" ht="15" hidden="false" customHeight="false" outlineLevel="0" collapsed="false">
      <c r="A7" s="4" t="s">
        <v>6</v>
      </c>
      <c r="B7" s="5" t="n">
        <v>46</v>
      </c>
      <c r="C7" s="6" t="s">
        <v>4</v>
      </c>
    </row>
    <row r="8" customFormat="false" ht="15" hidden="false" customHeight="false" outlineLevel="0" collapsed="false">
      <c r="A8" s="4" t="s">
        <v>7</v>
      </c>
      <c r="B8" s="5" t="n">
        <v>8760</v>
      </c>
      <c r="C8" s="6" t="s">
        <v>8</v>
      </c>
    </row>
    <row r="9" customFormat="false" ht="15" hidden="false" customHeight="false" outlineLevel="0" collapsed="false">
      <c r="A9" s="4" t="s">
        <v>9</v>
      </c>
      <c r="B9" s="7" t="n">
        <v>0.25</v>
      </c>
      <c r="C9" s="6" t="s">
        <v>10</v>
      </c>
    </row>
    <row r="11" customFormat="false" ht="15" hidden="false" customHeight="false" outlineLevel="0" collapsed="false">
      <c r="A11" s="3" t="s">
        <v>11</v>
      </c>
    </row>
    <row r="12" customFormat="false" ht="15" hidden="false" customHeight="false" outlineLevel="0" collapsed="false">
      <c r="A12" s="4" t="s">
        <v>12</v>
      </c>
      <c r="B12" s="8" t="n">
        <v>660000</v>
      </c>
      <c r="C12" s="6" t="s">
        <v>13</v>
      </c>
    </row>
    <row r="13" customFormat="false" ht="15" hidden="false" customHeight="false" outlineLevel="0" collapsed="false">
      <c r="A13" s="4" t="s">
        <v>14</v>
      </c>
      <c r="B13" s="5" t="n">
        <v>5</v>
      </c>
      <c r="C13" s="6" t="s">
        <v>15</v>
      </c>
    </row>
    <row r="14" customFormat="false" ht="15" hidden="false" customHeight="false" outlineLevel="0" collapsed="false">
      <c r="A14" s="4" t="s">
        <v>16</v>
      </c>
      <c r="B14" s="8" t="n">
        <v>150000</v>
      </c>
      <c r="C14" s="6" t="s">
        <v>17</v>
      </c>
    </row>
    <row r="15" customFormat="false" ht="15" hidden="false" customHeight="false" outlineLevel="0" collapsed="false">
      <c r="A15" s="4" t="s">
        <v>18</v>
      </c>
      <c r="B15" s="8" t="n">
        <v>248400</v>
      </c>
      <c r="C15" s="6" t="s">
        <v>19</v>
      </c>
    </row>
    <row r="16" customFormat="false" ht="15" hidden="false" customHeight="false" outlineLevel="0" collapsed="false">
      <c r="A16" s="4" t="s">
        <v>20</v>
      </c>
      <c r="B16" s="8" t="n">
        <v>180000</v>
      </c>
      <c r="C16" s="6" t="s">
        <v>21</v>
      </c>
    </row>
    <row r="17" customFormat="false" ht="15" hidden="false" customHeight="false" outlineLevel="0" collapsed="false">
      <c r="A17" s="4" t="s">
        <v>22</v>
      </c>
      <c r="B17" s="5" t="n">
        <v>3</v>
      </c>
      <c r="C17" s="6" t="s">
        <v>23</v>
      </c>
    </row>
    <row r="19" customFormat="false" ht="15" hidden="false" customHeight="false" outlineLevel="0" collapsed="false">
      <c r="A19" s="3" t="s">
        <v>24</v>
      </c>
    </row>
    <row r="20" customFormat="false" ht="15" hidden="false" customHeight="false" outlineLevel="0" collapsed="false">
      <c r="A20" s="4" t="s">
        <v>25</v>
      </c>
      <c r="B20" s="5" t="n">
        <v>13</v>
      </c>
      <c r="C20" s="6" t="s">
        <v>26</v>
      </c>
    </row>
    <row r="21" customFormat="false" ht="15" hidden="false" customHeight="false" outlineLevel="0" collapsed="false">
      <c r="A21" s="4" t="s">
        <v>27</v>
      </c>
      <c r="B21" s="7" t="n">
        <v>0.4</v>
      </c>
      <c r="C21" s="6" t="s">
        <v>28</v>
      </c>
    </row>
    <row r="22" customFormat="false" ht="15" hidden="false" customHeight="false" outlineLevel="0" collapsed="false">
      <c r="A22" s="4" t="s">
        <v>29</v>
      </c>
      <c r="B22" s="7" t="n">
        <v>1</v>
      </c>
      <c r="C22" s="6" t="s">
        <v>30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42"/>
  </cols>
  <sheetData>
    <row r="1" customFormat="false" ht="17.35" hidden="false" customHeight="false" outlineLevel="0" collapsed="false">
      <c r="A1" s="9" t="s">
        <v>31</v>
      </c>
      <c r="B1" s="9"/>
      <c r="C1" s="9"/>
      <c r="D1" s="9"/>
      <c r="E1" s="9"/>
      <c r="F1" s="9"/>
      <c r="G1" s="9"/>
      <c r="H1" s="9"/>
    </row>
    <row r="3" customFormat="false" ht="26.85" hidden="false" customHeight="false" outlineLevel="0" collapsed="false">
      <c r="A3" s="10" t="s">
        <v>32</v>
      </c>
      <c r="B3" s="10" t="s">
        <v>33</v>
      </c>
      <c r="C3" s="10" t="s">
        <v>34</v>
      </c>
      <c r="D3" s="10" t="s">
        <v>35</v>
      </c>
      <c r="E3" s="10" t="s">
        <v>36</v>
      </c>
      <c r="F3" s="10" t="s">
        <v>37</v>
      </c>
      <c r="G3" s="10" t="s">
        <v>38</v>
      </c>
      <c r="H3" s="10" t="s">
        <v>39</v>
      </c>
    </row>
    <row r="4" customFormat="false" ht="32.8" hidden="false" customHeight="false" outlineLevel="0" collapsed="false">
      <c r="A4" s="11" t="s">
        <v>40</v>
      </c>
      <c r="B4" s="11" t="s">
        <v>41</v>
      </c>
      <c r="C4" s="12" t="n">
        <v>20</v>
      </c>
      <c r="D4" s="13" t="n">
        <v>1</v>
      </c>
      <c r="E4" s="11" t="s">
        <v>42</v>
      </c>
      <c r="F4" s="14" t="n">
        <f aca="false">C4*D4*Assumptions!$B$8</f>
        <v>175200</v>
      </c>
      <c r="G4" s="15" t="s">
        <v>43</v>
      </c>
      <c r="H4" s="16" t="s">
        <v>44</v>
      </c>
    </row>
    <row r="5" customFormat="false" ht="22.35" hidden="false" customHeight="false" outlineLevel="0" collapsed="false">
      <c r="A5" s="11" t="s">
        <v>45</v>
      </c>
      <c r="B5" s="11" t="s">
        <v>46</v>
      </c>
      <c r="C5" s="12" t="n">
        <v>8</v>
      </c>
      <c r="D5" s="13" t="n">
        <v>0.78</v>
      </c>
      <c r="E5" s="11" t="s">
        <v>42</v>
      </c>
      <c r="F5" s="14" t="n">
        <f aca="false">C5*D5*Assumptions!$B$8</f>
        <v>54662.4</v>
      </c>
      <c r="G5" s="15" t="s">
        <v>43</v>
      </c>
      <c r="H5" s="16" t="s">
        <v>47</v>
      </c>
    </row>
    <row r="6" customFormat="false" ht="22.35" hidden="false" customHeight="false" outlineLevel="0" collapsed="false">
      <c r="A6" s="11" t="s">
        <v>48</v>
      </c>
      <c r="B6" s="11" t="s">
        <v>49</v>
      </c>
      <c r="C6" s="12" t="n">
        <v>8</v>
      </c>
      <c r="D6" s="13" t="n">
        <v>0.78</v>
      </c>
      <c r="E6" s="11" t="s">
        <v>42</v>
      </c>
      <c r="F6" s="14" t="n">
        <f aca="false">C6*D6*Assumptions!$B$8</f>
        <v>54662.4</v>
      </c>
      <c r="G6" s="15" t="s">
        <v>43</v>
      </c>
      <c r="H6" s="16" t="s">
        <v>50</v>
      </c>
    </row>
    <row r="7" customFormat="false" ht="22.35" hidden="false" customHeight="false" outlineLevel="0" collapsed="false">
      <c r="A7" s="11" t="s">
        <v>51</v>
      </c>
      <c r="B7" s="11" t="s">
        <v>52</v>
      </c>
      <c r="C7" s="12" t="n">
        <v>5</v>
      </c>
      <c r="D7" s="13" t="n">
        <v>0.146</v>
      </c>
      <c r="E7" s="11" t="s">
        <v>42</v>
      </c>
      <c r="F7" s="14" t="n">
        <f aca="false">C7*D7*Assumptions!$B$8</f>
        <v>6394.8</v>
      </c>
      <c r="G7" s="15" t="s">
        <v>43</v>
      </c>
      <c r="H7" s="16" t="s">
        <v>53</v>
      </c>
    </row>
    <row r="8" customFormat="false" ht="22.35" hidden="false" customHeight="false" outlineLevel="0" collapsed="false">
      <c r="A8" s="11" t="s">
        <v>54</v>
      </c>
      <c r="B8" s="11" t="s">
        <v>55</v>
      </c>
      <c r="C8" s="12" t="n">
        <v>4</v>
      </c>
      <c r="D8" s="13" t="n">
        <v>0.173</v>
      </c>
      <c r="E8" s="11" t="s">
        <v>42</v>
      </c>
      <c r="F8" s="14" t="n">
        <f aca="false">C8*D8*Assumptions!$B$8</f>
        <v>6061.92</v>
      </c>
      <c r="G8" s="15" t="s">
        <v>43</v>
      </c>
      <c r="H8" s="16" t="s">
        <v>56</v>
      </c>
    </row>
    <row r="9" customFormat="false" ht="15" hidden="false" customHeight="false" outlineLevel="0" collapsed="false">
      <c r="A9" s="11" t="s">
        <v>57</v>
      </c>
      <c r="B9" s="11" t="s">
        <v>58</v>
      </c>
      <c r="C9" s="12" t="n">
        <v>1</v>
      </c>
      <c r="D9" s="13" t="n">
        <v>677</v>
      </c>
      <c r="E9" s="11" t="s">
        <v>59</v>
      </c>
      <c r="F9" s="14" t="n">
        <f aca="false">C9*D9*12</f>
        <v>8124</v>
      </c>
      <c r="G9" s="15" t="s">
        <v>60</v>
      </c>
      <c r="H9" s="16" t="s">
        <v>61</v>
      </c>
    </row>
    <row r="10" customFormat="false" ht="22.35" hidden="false" customHeight="false" outlineLevel="0" collapsed="false">
      <c r="A10" s="11" t="s">
        <v>62</v>
      </c>
      <c r="B10" s="11" t="s">
        <v>63</v>
      </c>
      <c r="C10" s="12" t="n">
        <v>1</v>
      </c>
      <c r="D10" s="13" t="n">
        <v>677</v>
      </c>
      <c r="E10" s="11" t="s">
        <v>59</v>
      </c>
      <c r="F10" s="14" t="n">
        <f aca="false">C10*D10*12</f>
        <v>8124</v>
      </c>
      <c r="G10" s="15" t="s">
        <v>60</v>
      </c>
      <c r="H10" s="16" t="s">
        <v>64</v>
      </c>
    </row>
    <row r="11" customFormat="false" ht="22.35" hidden="false" customHeight="false" outlineLevel="0" collapsed="false">
      <c r="A11" s="11" t="s">
        <v>65</v>
      </c>
      <c r="B11" s="11" t="s">
        <v>66</v>
      </c>
      <c r="C11" s="12" t="n">
        <v>1</v>
      </c>
      <c r="D11" s="13" t="n">
        <v>2795</v>
      </c>
      <c r="E11" s="11" t="s">
        <v>59</v>
      </c>
      <c r="F11" s="14" t="n">
        <f aca="false">C11*D11*12</f>
        <v>33540</v>
      </c>
      <c r="G11" s="15" t="s">
        <v>60</v>
      </c>
      <c r="H11" s="16" t="s">
        <v>67</v>
      </c>
    </row>
    <row r="12" customFormat="false" ht="15" hidden="false" customHeight="false" outlineLevel="0" collapsed="false">
      <c r="A12" s="11" t="s">
        <v>68</v>
      </c>
      <c r="B12" s="11" t="s">
        <v>69</v>
      </c>
      <c r="C12" s="12" t="n">
        <v>1</v>
      </c>
      <c r="D12" s="13" t="n">
        <v>2795</v>
      </c>
      <c r="E12" s="11" t="s">
        <v>59</v>
      </c>
      <c r="F12" s="14" t="n">
        <f aca="false">C12*D12*12</f>
        <v>33540</v>
      </c>
      <c r="G12" s="15" t="s">
        <v>60</v>
      </c>
      <c r="H12" s="16" t="s">
        <v>70</v>
      </c>
    </row>
    <row r="13" customFormat="false" ht="15" hidden="false" customHeight="false" outlineLevel="0" collapsed="false">
      <c r="A13" s="11" t="s">
        <v>71</v>
      </c>
      <c r="B13" s="11" t="s">
        <v>72</v>
      </c>
      <c r="C13" s="12" t="n">
        <v>1</v>
      </c>
      <c r="D13" s="13" t="n">
        <v>667</v>
      </c>
      <c r="E13" s="11" t="s">
        <v>59</v>
      </c>
      <c r="F13" s="14" t="n">
        <f aca="false">C13*D13*12</f>
        <v>8004</v>
      </c>
      <c r="G13" s="15" t="s">
        <v>60</v>
      </c>
      <c r="H13" s="16" t="s">
        <v>73</v>
      </c>
    </row>
    <row r="14" customFormat="false" ht="32.8" hidden="false" customHeight="false" outlineLevel="0" collapsed="false">
      <c r="A14" s="11" t="s">
        <v>74</v>
      </c>
      <c r="B14" s="11" t="s">
        <v>75</v>
      </c>
      <c r="C14" s="12" t="n">
        <v>5</v>
      </c>
      <c r="D14" s="13" t="n">
        <v>25</v>
      </c>
      <c r="E14" s="11" t="s">
        <v>59</v>
      </c>
      <c r="F14" s="14" t="n">
        <f aca="false">C14*D14*12</f>
        <v>1500</v>
      </c>
      <c r="G14" s="15" t="s">
        <v>60</v>
      </c>
      <c r="H14" s="16" t="s">
        <v>76</v>
      </c>
    </row>
    <row r="15" customFormat="false" ht="22.35" hidden="false" customHeight="false" outlineLevel="0" collapsed="false">
      <c r="A15" s="11" t="s">
        <v>77</v>
      </c>
      <c r="B15" s="11" t="s">
        <v>78</v>
      </c>
      <c r="C15" s="12" t="n">
        <v>200000</v>
      </c>
      <c r="D15" s="13" t="n">
        <v>0.02</v>
      </c>
      <c r="E15" s="11" t="s">
        <v>79</v>
      </c>
      <c r="F15" s="14" t="n">
        <f aca="false">C15*D15*12</f>
        <v>48000</v>
      </c>
      <c r="G15" s="15" t="s">
        <v>60</v>
      </c>
      <c r="H15" s="16" t="s">
        <v>80</v>
      </c>
    </row>
    <row r="16" customFormat="false" ht="15" hidden="false" customHeight="false" outlineLevel="0" collapsed="false">
      <c r="A16" s="11" t="s">
        <v>81</v>
      </c>
      <c r="B16" s="11" t="s">
        <v>82</v>
      </c>
      <c r="C16" s="12" t="n">
        <v>50</v>
      </c>
      <c r="D16" s="13" t="n">
        <v>2.46</v>
      </c>
      <c r="E16" s="11" t="s">
        <v>83</v>
      </c>
      <c r="F16" s="14" t="n">
        <f aca="false">C16*D16*365</f>
        <v>44895</v>
      </c>
      <c r="G16" s="15" t="s">
        <v>60</v>
      </c>
      <c r="H16" s="16" t="s">
        <v>84</v>
      </c>
    </row>
    <row r="17" customFormat="false" ht="32.8" hidden="false" customHeight="false" outlineLevel="0" collapsed="false">
      <c r="A17" s="11" t="s">
        <v>85</v>
      </c>
      <c r="B17" s="11" t="s">
        <v>86</v>
      </c>
      <c r="C17" s="12" t="n">
        <v>4300</v>
      </c>
      <c r="D17" s="13" t="n">
        <v>9</v>
      </c>
      <c r="E17" s="11" t="s">
        <v>87</v>
      </c>
      <c r="F17" s="14" t="n">
        <f aca="false">C17*D17*12</f>
        <v>464400</v>
      </c>
      <c r="G17" s="15" t="s">
        <v>60</v>
      </c>
      <c r="H17" s="16" t="s">
        <v>88</v>
      </c>
    </row>
    <row r="18" customFormat="false" ht="22.35" hidden="false" customHeight="false" outlineLevel="0" collapsed="false">
      <c r="A18" s="11" t="s">
        <v>89</v>
      </c>
      <c r="B18" s="11" t="s">
        <v>90</v>
      </c>
      <c r="C18" s="12" t="n">
        <v>73000</v>
      </c>
      <c r="D18" s="13" t="n">
        <v>0.01</v>
      </c>
      <c r="E18" s="11" t="s">
        <v>91</v>
      </c>
      <c r="F18" s="14" t="n">
        <f aca="false">C18*D18*12</f>
        <v>8760</v>
      </c>
      <c r="G18" s="15" t="s">
        <v>60</v>
      </c>
      <c r="H18" s="16" t="s">
        <v>92</v>
      </c>
    </row>
    <row r="19" customFormat="false" ht="22.35" hidden="false" customHeight="false" outlineLevel="0" collapsed="false">
      <c r="A19" s="11" t="s">
        <v>93</v>
      </c>
      <c r="B19" s="11" t="s">
        <v>94</v>
      </c>
      <c r="C19" s="12" t="n">
        <v>1</v>
      </c>
      <c r="D19" s="13" t="n">
        <v>1600</v>
      </c>
      <c r="E19" s="11" t="s">
        <v>59</v>
      </c>
      <c r="F19" s="14" t="n">
        <f aca="false">C19*D19*12</f>
        <v>19200</v>
      </c>
      <c r="G19" s="15" t="s">
        <v>60</v>
      </c>
      <c r="H19" s="16" t="s">
        <v>95</v>
      </c>
    </row>
    <row r="20" customFormat="false" ht="22.35" hidden="false" customHeight="false" outlineLevel="0" collapsed="false">
      <c r="A20" s="11" t="s">
        <v>96</v>
      </c>
      <c r="B20" s="11" t="s">
        <v>97</v>
      </c>
      <c r="C20" s="12" t="n">
        <v>1</v>
      </c>
      <c r="D20" s="13" t="n">
        <v>2083</v>
      </c>
      <c r="E20" s="11" t="s">
        <v>59</v>
      </c>
      <c r="F20" s="14" t="n">
        <f aca="false">C20*D20*12</f>
        <v>24996</v>
      </c>
      <c r="G20" s="15" t="s">
        <v>60</v>
      </c>
      <c r="H20" s="16" t="s">
        <v>98</v>
      </c>
    </row>
    <row r="21" customFormat="false" ht="15" hidden="false" customHeight="false" outlineLevel="0" collapsed="false">
      <c r="A21" s="11" t="s">
        <v>99</v>
      </c>
      <c r="B21" s="11" t="s">
        <v>100</v>
      </c>
      <c r="C21" s="12" t="n">
        <v>1</v>
      </c>
      <c r="D21" s="13" t="n">
        <v>833</v>
      </c>
      <c r="E21" s="11" t="s">
        <v>59</v>
      </c>
      <c r="F21" s="14" t="n">
        <f aca="false">C21*D21*12</f>
        <v>9996</v>
      </c>
      <c r="G21" s="15" t="s">
        <v>60</v>
      </c>
      <c r="H21" s="16" t="s">
        <v>101</v>
      </c>
    </row>
    <row r="23" customFormat="false" ht="15" hidden="false" customHeight="false" outlineLevel="0" collapsed="false">
      <c r="A23" s="17" t="s">
        <v>102</v>
      </c>
      <c r="B23" s="18"/>
      <c r="C23" s="18"/>
      <c r="D23" s="18"/>
      <c r="E23" s="18"/>
      <c r="F23" s="19" t="n">
        <f aca="false">SUM(F4:F21)</f>
        <v>1010060.52</v>
      </c>
      <c r="G23" s="18"/>
      <c r="H23" s="18"/>
    </row>
    <row r="24" customFormat="false" ht="15" hidden="false" customHeight="false" outlineLevel="0" collapsed="false">
      <c r="A24" s="20" t="s">
        <v>103</v>
      </c>
      <c r="F24" s="21" t="n">
        <f aca="false">SUMIF(G4:G21,"Y",F4:F21)</f>
        <v>296981.52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9" t="s">
        <v>104</v>
      </c>
      <c r="B1" s="9"/>
      <c r="C1" s="9"/>
    </row>
    <row r="3" customFormat="false" ht="15" hidden="false" customHeight="false" outlineLevel="0" collapsed="false">
      <c r="A3" s="10" t="s">
        <v>105</v>
      </c>
      <c r="B3" s="10" t="s">
        <v>37</v>
      </c>
      <c r="C3" s="10" t="s">
        <v>39</v>
      </c>
    </row>
    <row r="4" customFormat="false" ht="26.85" hidden="false" customHeight="false" outlineLevel="0" collapsed="false">
      <c r="A4" s="22" t="s">
        <v>106</v>
      </c>
      <c r="B4" s="23" t="n">
        <f aca="false">Assumptions!$B$12/Assumptions!$B$13</f>
        <v>132000</v>
      </c>
      <c r="C4" s="16" t="s">
        <v>107</v>
      </c>
    </row>
    <row r="5" customFormat="false" ht="15" hidden="false" customHeight="false" outlineLevel="0" collapsed="false">
      <c r="A5" s="22" t="s">
        <v>108</v>
      </c>
      <c r="B5" s="23" t="n">
        <f aca="false">Assumptions!$B$14</f>
        <v>150000</v>
      </c>
      <c r="C5" s="16" t="s">
        <v>109</v>
      </c>
    </row>
    <row r="6" customFormat="false" ht="15" hidden="false" customHeight="false" outlineLevel="0" collapsed="false">
      <c r="A6" s="22" t="s">
        <v>110</v>
      </c>
      <c r="B6" s="23" t="n">
        <f aca="false">Assumptions!$B$15</f>
        <v>248400</v>
      </c>
      <c r="C6" s="16" t="s">
        <v>111</v>
      </c>
    </row>
    <row r="7" customFormat="false" ht="39.55" hidden="false" customHeight="false" outlineLevel="0" collapsed="false">
      <c r="A7" s="22" t="s">
        <v>112</v>
      </c>
      <c r="B7" s="23" t="n">
        <f aca="false">Assumptions!$B$16*Assumptions!$B$17</f>
        <v>540000</v>
      </c>
      <c r="C7" s="16" t="s">
        <v>113</v>
      </c>
    </row>
    <row r="9" customFormat="false" ht="15" hidden="false" customHeight="false" outlineLevel="0" collapsed="false">
      <c r="A9" s="17" t="s">
        <v>114</v>
      </c>
      <c r="B9" s="19" t="n">
        <f aca="false">SUM(B4:B7)</f>
        <v>1070400</v>
      </c>
      <c r="C9" s="18"/>
    </row>
    <row r="11" customFormat="false" ht="15" hidden="false" customHeight="true" outlineLevel="0" collapsed="false">
      <c r="A11" s="2" t="s">
        <v>115</v>
      </c>
      <c r="B11" s="2"/>
      <c r="C11" s="2"/>
    </row>
  </sheetData>
  <mergeCells count="2">
    <mergeCell ref="A1:C1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9" t="s">
        <v>116</v>
      </c>
      <c r="B1" s="9"/>
      <c r="C1" s="9"/>
    </row>
    <row r="3" customFormat="false" ht="15" hidden="false" customHeight="false" outlineLevel="0" collapsed="false">
      <c r="A3" s="10" t="s">
        <v>105</v>
      </c>
      <c r="B3" s="10" t="s">
        <v>117</v>
      </c>
      <c r="C3" s="10" t="s">
        <v>39</v>
      </c>
    </row>
    <row r="4" customFormat="false" ht="15" hidden="false" customHeight="false" outlineLevel="0" collapsed="false">
      <c r="A4" s="3" t="s">
        <v>118</v>
      </c>
    </row>
    <row r="5" customFormat="false" ht="22.35" hidden="false" customHeight="false" outlineLevel="0" collapsed="false">
      <c r="A5" s="22" t="s">
        <v>119</v>
      </c>
      <c r="B5" s="24" t="n">
        <v>180000</v>
      </c>
      <c r="C5" s="16" t="s">
        <v>120</v>
      </c>
    </row>
    <row r="6" customFormat="false" ht="26.85" hidden="false" customHeight="false" outlineLevel="0" collapsed="false">
      <c r="A6" s="22" t="s">
        <v>121</v>
      </c>
      <c r="B6" s="24" t="n">
        <v>420000</v>
      </c>
      <c r="C6" s="16" t="s">
        <v>122</v>
      </c>
    </row>
    <row r="7" customFormat="false" ht="26.85" hidden="false" customHeight="false" outlineLevel="0" collapsed="false">
      <c r="A7" s="22" t="s">
        <v>123</v>
      </c>
      <c r="B7" s="24" t="n">
        <v>32500</v>
      </c>
      <c r="C7" s="16" t="s">
        <v>124</v>
      </c>
    </row>
    <row r="8" customFormat="false" ht="26.85" hidden="false" customHeight="false" outlineLevel="0" collapsed="false">
      <c r="A8" s="22" t="s">
        <v>125</v>
      </c>
      <c r="B8" s="24" t="n">
        <v>60000</v>
      </c>
      <c r="C8" s="16" t="s">
        <v>126</v>
      </c>
    </row>
    <row r="9" customFormat="false" ht="26.85" hidden="false" customHeight="false" outlineLevel="0" collapsed="false">
      <c r="A9" s="22" t="s">
        <v>127</v>
      </c>
      <c r="B9" s="24" t="n">
        <v>150000</v>
      </c>
      <c r="C9" s="16" t="s">
        <v>128</v>
      </c>
    </row>
    <row r="10" customFormat="false" ht="15" hidden="false" customHeight="false" outlineLevel="0" collapsed="false">
      <c r="A10" s="25" t="s">
        <v>129</v>
      </c>
      <c r="B10" s="26" t="n">
        <f aca="false">SUM(B5:B9)</f>
        <v>842500</v>
      </c>
      <c r="C10" s="27"/>
    </row>
    <row r="12" customFormat="false" ht="15" hidden="false" customHeight="false" outlineLevel="0" collapsed="false">
      <c r="A12" s="3" t="s">
        <v>130</v>
      </c>
    </row>
    <row r="13" customFormat="false" ht="26.85" hidden="false" customHeight="false" outlineLevel="0" collapsed="false">
      <c r="A13" s="22" t="s">
        <v>131</v>
      </c>
      <c r="B13" s="23" t="n">
        <f aca="false">AzureRunRate!F23*Assumptions!$B$21</f>
        <v>404024.208</v>
      </c>
      <c r="C13" s="16" t="s">
        <v>132</v>
      </c>
    </row>
    <row r="14" customFormat="false" ht="26.85" hidden="false" customHeight="false" outlineLevel="0" collapsed="false">
      <c r="A14" s="22" t="s">
        <v>133</v>
      </c>
      <c r="B14" s="23" t="n">
        <f aca="false">(OnPremBaseline!B5+OnPremBaseline!B6)*Assumptions!$B$22</f>
        <v>398400</v>
      </c>
      <c r="C14" s="16" t="s">
        <v>30</v>
      </c>
    </row>
    <row r="15" customFormat="false" ht="26.85" hidden="false" customHeight="false" outlineLevel="0" collapsed="false">
      <c r="A15" s="22" t="s">
        <v>134</v>
      </c>
      <c r="B15" s="24" t="n">
        <v>0</v>
      </c>
      <c r="C15" s="16" t="s">
        <v>135</v>
      </c>
    </row>
    <row r="16" customFormat="false" ht="26.85" hidden="false" customHeight="false" outlineLevel="0" collapsed="false">
      <c r="A16" s="22" t="s">
        <v>136</v>
      </c>
      <c r="B16" s="23" t="n">
        <f aca="false">Assumptions!$B$16</f>
        <v>180000</v>
      </c>
      <c r="C16" s="16" t="s">
        <v>137</v>
      </c>
    </row>
    <row r="17" customFormat="false" ht="15" hidden="false" customHeight="false" outlineLevel="0" collapsed="false">
      <c r="A17" s="25" t="s">
        <v>138</v>
      </c>
      <c r="B17" s="26" t="n">
        <f aca="false">SUM(B13:B16)</f>
        <v>982424.208</v>
      </c>
      <c r="C17" s="27"/>
    </row>
    <row r="19" customFormat="false" ht="15" hidden="false" customHeight="false" outlineLevel="0" collapsed="false">
      <c r="A19" s="17" t="s">
        <v>139</v>
      </c>
      <c r="B19" s="19" t="n">
        <f aca="false">B10+B17</f>
        <v>1824924.208</v>
      </c>
      <c r="C19" s="18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3"/>
  </cols>
  <sheetData>
    <row r="1" customFormat="false" ht="17.35" hidden="false" customHeight="false" outlineLevel="0" collapsed="false">
      <c r="A1" s="9" t="s">
        <v>140</v>
      </c>
      <c r="B1" s="9"/>
      <c r="C1" s="9"/>
      <c r="D1" s="9"/>
      <c r="E1" s="9"/>
      <c r="F1" s="9"/>
      <c r="G1" s="9"/>
      <c r="H1" s="9"/>
    </row>
    <row r="2" customFormat="false" ht="25.5" hidden="false" customHeight="true" outlineLevel="0" collapsed="false">
      <c r="A2" s="2" t="s">
        <v>141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0" t="s">
        <v>142</v>
      </c>
      <c r="B4" s="10" t="s">
        <v>143</v>
      </c>
      <c r="C4" s="10" t="s">
        <v>144</v>
      </c>
      <c r="D4" s="10" t="s">
        <v>145</v>
      </c>
      <c r="E4" s="10" t="s">
        <v>146</v>
      </c>
      <c r="F4" s="10" t="s">
        <v>147</v>
      </c>
      <c r="G4" s="10" t="s">
        <v>148</v>
      </c>
      <c r="H4" s="10" t="s">
        <v>149</v>
      </c>
    </row>
    <row r="5" customFormat="false" ht="15" hidden="false" customHeight="false" outlineLevel="0" collapsed="false">
      <c r="A5" s="4" t="s">
        <v>150</v>
      </c>
      <c r="B5" s="23" t="n">
        <f aca="false">OnPremBaseline!$B$9</f>
        <v>1070400</v>
      </c>
      <c r="C5" s="23" t="n">
        <f aca="false">OnPremBaseline!$B$9</f>
        <v>1070400</v>
      </c>
      <c r="D5" s="23" t="n">
        <f aca="false">OnPremBaseline!$B$9</f>
        <v>1070400</v>
      </c>
      <c r="E5" s="23" t="n">
        <f aca="false">OnPremBaseline!$B$9</f>
        <v>1070400</v>
      </c>
      <c r="F5" s="23" t="n">
        <f aca="false">OnPremBaseline!$B$9</f>
        <v>1070400</v>
      </c>
      <c r="G5" s="23" t="n">
        <f aca="false">OnPremBaseline!$B$9</f>
        <v>1070400</v>
      </c>
      <c r="H5" s="23" t="n">
        <f aca="false">OnPremBaseline!$B$9</f>
        <v>1070400</v>
      </c>
    </row>
    <row r="6" customFormat="false" ht="15" hidden="false" customHeight="false" outlineLevel="0" collapsed="false">
      <c r="A6" s="4" t="s">
        <v>151</v>
      </c>
      <c r="B6" s="23" t="n">
        <f aca="false">MigrationYr1!$B$19</f>
        <v>1824924.208</v>
      </c>
      <c r="C6" s="23" t="n">
        <f aca="false">AzureRunRate!$F$23-AzureRunRate!$F$24*Assumptions!$B$9</f>
        <v>935815.14</v>
      </c>
      <c r="D6" s="23" t="n">
        <f aca="false">AzureRunRate!$F$23-AzureRunRate!$F$24*Assumptions!$B$9</f>
        <v>935815.14</v>
      </c>
      <c r="E6" s="23" t="n">
        <f aca="false">AzureRunRate!$F$23-AzureRunRate!$F$24*Assumptions!$B$9</f>
        <v>935815.14</v>
      </c>
      <c r="F6" s="23" t="n">
        <f aca="false">AzureRunRate!$F$23-AzureRunRate!$F$24*Assumptions!$B$9</f>
        <v>935815.14</v>
      </c>
      <c r="G6" s="23" t="n">
        <f aca="false">AzureRunRate!$F$23-AzureRunRate!$F$24*Assumptions!$B$9</f>
        <v>935815.14</v>
      </c>
      <c r="H6" s="23" t="n">
        <f aca="false">AzureRunRate!$F$23-AzureRunRate!$F$24*Assumptions!$B$9</f>
        <v>935815.14</v>
      </c>
    </row>
    <row r="8" customFormat="false" ht="15" hidden="false" customHeight="false" outlineLevel="0" collapsed="false">
      <c r="A8" s="28" t="s">
        <v>152</v>
      </c>
      <c r="B8" s="26" t="n">
        <f aca="false">B5</f>
        <v>1070400</v>
      </c>
      <c r="C8" s="26" t="n">
        <f aca="false">B8+C5</f>
        <v>2140800</v>
      </c>
      <c r="D8" s="26" t="n">
        <f aca="false">C8+D5</f>
        <v>3211200</v>
      </c>
      <c r="E8" s="26" t="n">
        <f aca="false">D8+E5</f>
        <v>4281600</v>
      </c>
      <c r="F8" s="26" t="n">
        <f aca="false">E8+F5</f>
        <v>5352000</v>
      </c>
      <c r="G8" s="26" t="n">
        <f aca="false">F8+G5</f>
        <v>6422400</v>
      </c>
      <c r="H8" s="26" t="n">
        <f aca="false">G8+H5</f>
        <v>7492800</v>
      </c>
    </row>
    <row r="9" customFormat="false" ht="15" hidden="false" customHeight="false" outlineLevel="0" collapsed="false">
      <c r="A9" s="28" t="s">
        <v>153</v>
      </c>
      <c r="B9" s="26" t="n">
        <f aca="false">B6</f>
        <v>1824924.208</v>
      </c>
      <c r="C9" s="26" t="n">
        <f aca="false">B9+C6</f>
        <v>2760739.348</v>
      </c>
      <c r="D9" s="26" t="n">
        <f aca="false">C9+D6</f>
        <v>3696554.488</v>
      </c>
      <c r="E9" s="26" t="n">
        <f aca="false">D9+E6</f>
        <v>4632369.628</v>
      </c>
      <c r="F9" s="26" t="n">
        <f aca="false">E9+F6</f>
        <v>5568184.768</v>
      </c>
      <c r="G9" s="26" t="n">
        <f aca="false">F9+G6</f>
        <v>6503999.908</v>
      </c>
      <c r="H9" s="26" t="n">
        <f aca="false">G9+H6</f>
        <v>7439815.048</v>
      </c>
    </row>
    <row r="10" customFormat="false" ht="15" hidden="false" customHeight="false" outlineLevel="0" collapsed="false">
      <c r="A10" s="29" t="s">
        <v>154</v>
      </c>
      <c r="B10" s="30" t="n">
        <f aca="false">B9-B8</f>
        <v>754524.208</v>
      </c>
      <c r="C10" s="30" t="n">
        <f aca="false">C9-C8</f>
        <v>619939.348</v>
      </c>
      <c r="D10" s="30" t="n">
        <f aca="false">D9-D8</f>
        <v>485354.488</v>
      </c>
      <c r="E10" s="30" t="n">
        <f aca="false">E9-E8</f>
        <v>350769.628000001</v>
      </c>
      <c r="F10" s="30" t="n">
        <f aca="false">F9-F8</f>
        <v>216184.768</v>
      </c>
      <c r="G10" s="30" t="n">
        <f aca="false">G9-G8</f>
        <v>81599.9079999998</v>
      </c>
      <c r="H10" s="30" t="n">
        <f aca="false">H9-H8</f>
        <v>-52984.9520000005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2026-08-22T01:53:11Z</dcterms:created>
  <dc:creator>openpyxl</dc:creator>
  <dc:description/>
  <dc:language>en-US</dc:language>
  <cp:lastModifiedBy/>
  <dcterms:modified xsi:type="dcterms:W3CDTF">2026-08-22T01:53:14Z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